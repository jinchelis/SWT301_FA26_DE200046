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WT301\Codenop\"/>
    </mc:Choice>
  </mc:AlternateContent>
  <xr:revisionPtr revIDLastSave="0" documentId="13_ncr:1_{5F84DB8A-22DC-4B58-A566-D37DB7B15607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Q1" sheetId="5" r:id="rId1"/>
    <sheet name="Q2" sheetId="1" r:id="rId2"/>
    <sheet name="Q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D3" i="3"/>
  <c r="F2" i="3"/>
  <c r="D2" i="3"/>
  <c r="O5" i="1"/>
  <c r="N5" i="1"/>
  <c r="M5" i="1"/>
  <c r="L5" i="1"/>
  <c r="C5" i="1"/>
  <c r="A5" i="1"/>
  <c r="F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2" authorId="0" shapeId="0" xr:uid="{00000000-0006-0000-0100-000001000000}">
      <text>
        <r>
          <rPr>
            <sz val="11"/>
            <color theme="1"/>
            <rFont val="Calibri"/>
          </rPr>
          <t>Tom P:
Input number line of code</t>
        </r>
      </text>
    </comment>
    <comment ref="A3" authorId="1" shapeId="0" xr:uid="{00000000-0006-0000-0100-000002000000}">
      <text>
        <r>
          <rPr>
            <sz val="11"/>
            <color theme="1"/>
            <rFont val="Calibri"/>
          </rPr>
          <t>Not mandatory</t>
        </r>
      </text>
    </comment>
    <comment ref="C8" authorId="2" shapeId="0" xr:uid="{00000000-0006-0000-0100-000003000000}">
      <text>
        <r>
          <rPr>
            <sz val="11"/>
            <color theme="1"/>
            <rFont val="Calibri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Instructor</author>
  </authors>
  <commentList>
    <comment ref="G4" authorId="0" shapeId="0" xr:uid="{00000000-0006-0000-0200-000001000000}">
      <text>
        <r>
          <rPr>
            <sz val="11"/>
            <color theme="1"/>
            <rFont val="Calibri"/>
          </rPr>
          <t>Pass
Fail
Untested
N/A</t>
        </r>
      </text>
    </comment>
  </commentList>
</comments>
</file>

<file path=xl/sharedStrings.xml><?xml version="1.0" encoding="utf-8"?>
<sst xmlns="http://schemas.openxmlformats.org/spreadsheetml/2006/main" count="182" uniqueCount="139">
  <si>
    <t>Issue No</t>
  </si>
  <si>
    <t>Description</t>
  </si>
  <si>
    <t>Line</t>
  </si>
  <si>
    <t>Detail</t>
  </si>
  <si>
    <t>local variable overshadow the 1st input</t>
  </si>
  <si>
    <t>int[] arr1 = {};</t>
  </si>
  <si>
    <t>* Notes:</t>
  </si>
  <si>
    <t xml:space="preserve">Blue text is sample, needed to be deleted in the answer </t>
  </si>
  <si>
    <t>Function Code</t>
  </si>
  <si>
    <t>name of the method</t>
  </si>
  <si>
    <t>Function Name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</si>
  <si>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</si>
  <si>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</si>
  <si>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</si>
  <si>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</si>
  <si>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</si>
  <si>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</si>
  <si>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</si>
  <si>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</si>
  <si>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</si>
  <si>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</si>
  <si>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</si>
  <si>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</si>
  <si>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Condition</t>
  </si>
  <si>
    <t xml:space="preserve">Precondition </t>
  </si>
  <si>
    <t>N/A</t>
  </si>
  <si>
    <t>Input condition</t>
  </si>
  <si>
    <t>weightKg</t>
  </si>
  <si>
    <t>&lt;=0: -5</t>
  </si>
  <si>
    <t>O</t>
  </si>
  <si>
    <t>isBusiness</t>
  </si>
  <si>
    <t>isSkyMember</t>
  </si>
  <si>
    <t>Confirm</t>
  </si>
  <si>
    <t>Return</t>
  </si>
  <si>
    <t>Invalid weight</t>
  </si>
  <si>
    <t>No fee</t>
  </si>
  <si>
    <t>Fee 60$</t>
  </si>
  <si>
    <t>Fee 225$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</si>
  <si>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</si>
  <si>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</si>
  <si>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</si>
  <si>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</si>
  <si>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</si>
  <si>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</si>
  <si>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</si>
  <si>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</si>
  <si>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Don't edit the grey cell</t>
  </si>
  <si>
    <t>Test case</t>
  </si>
  <si>
    <t>ID</t>
  </si>
  <si>
    <t>Test Case Description</t>
  </si>
  <si>
    <t>Pre -Condition</t>
  </si>
  <si>
    <t>Test Case Procedure</t>
  </si>
  <si>
    <t>Test Data</t>
  </si>
  <si>
    <t>Expected Output</t>
  </si>
  <si>
    <t>Status</t>
  </si>
  <si>
    <t>Test date
(dd/mm/yyyy)</t>
  </si>
  <si>
    <t>Note</t>
  </si>
  <si>
    <t>Movie Ticket Booking</t>
  </si>
  <si>
    <t>TCV01</t>
  </si>
  <si>
    <t>Verify that the system displays a required message when Number of Tickets is empty.</t>
  </si>
  <si>
    <t>Movie Ticket Booking screen is displayed.</t>
  </si>
  <si>
    <t>1. Leave Number of Tickets empty.
2. Select Seat Type = Standard.
3. Select Customer Category = Regular.
4. Enter Promotion Code = MOVIE2026.
5. Click Book.</t>
  </si>
  <si>
    <t>Number of Tickets = empty
Seat Type = Standard
Customer Category = Regular
Promotion Code = MOVIE2026</t>
  </si>
  <si>
    <t>System displays: "Number of tickets is required."</t>
  </si>
  <si>
    <t>Equivalence Partitioning - invalid partition</t>
  </si>
  <si>
    <t>TCV02</t>
  </si>
  <si>
    <t>Verify that the system rejects Number of Tickets when the value is not an integer.</t>
  </si>
  <si>
    <t>1. Enter Number of Tickets = abc.
2. Select Seat Type = Standard.
3. Select Customer Category = Regular.
4. Enter Promotion Code = MOVIE2026.
5. Click Book.</t>
  </si>
  <si>
    <t>Number of Tickets = abc
Seat Type = Standard
Customer Category = Regular
Promotion Code = MOVIE2026</t>
  </si>
  <si>
    <t>System displays: "Number of tickets must be an integer greater than 0."</t>
  </si>
  <si>
    <t>TCV03</t>
  </si>
  <si>
    <t>Verify that the system rejects Number of Tickets when the value is 0.</t>
  </si>
  <si>
    <t>1. Enter Number of Tickets = 0.
2. Select Seat Type = Standard.
3. Select Customer Category = Regular.
4. Enter Promotion Code = MOVIE2026.
5. Click Book.</t>
  </si>
  <si>
    <t>Number of Tickets = 0
Seat Type = Standard
Customer Category = Regular
Promotion Code = MOVIE2026</t>
  </si>
  <si>
    <t>Boundary Value Analysis - off-point</t>
  </si>
  <si>
    <t>TCV04</t>
  </si>
  <si>
    <t>Verify that the system displays a required message when Seat Type is not selected.</t>
  </si>
  <si>
    <t>1. Enter Number of Tickets = 1.
2. Leave Seat Type unselected.
3. Select Customer Category = Regular.
4. Enter Promotion Code = MOVIE2026.
5. Click Book.</t>
  </si>
  <si>
    <t>Number of Tickets = 1
Seat Type = not selected
Customer Category = Regular
Promotion Code = MOVIE2026</t>
  </si>
  <si>
    <t>System displays: "Seat Type is required."</t>
  </si>
  <si>
    <t>TCV05</t>
  </si>
  <si>
    <t>Verify that the system displays a required message when Customer Category is not selected.</t>
  </si>
  <si>
    <t>1. Enter Number of Tickets = 1.
2. Select Seat Type = Standard.
3. Leave Customer Category unselected.
4. Enter Promotion Code = MOVIE2026.
5. Click Book.</t>
  </si>
  <si>
    <t>Number of Tickets = 1
Seat Type = Standard
Customer Category = not selected
Promotion Code = MOVIE2026</t>
  </si>
  <si>
    <t>System displays: "Customer Category is required."</t>
  </si>
  <si>
    <t>TCV06</t>
  </si>
  <si>
    <t>Verify that the system displays a required message when Promotion Code is empty.</t>
  </si>
  <si>
    <t>1. Enter Number of Tickets = 1.
2. Select Seat Type = Standard.
3. Select Customer Category = Regular.
4. Leave Promotion Code empty.
5. Click Book.</t>
  </si>
  <si>
    <t>Number of Tickets = 1
Seat Type = Standard
Customer Category = Regular
Promotion Code = empty</t>
  </si>
  <si>
    <t>System displays: "Promotion Code is required."</t>
  </si>
  <si>
    <t>TCV07</t>
  </si>
  <si>
    <t>Verify that the system rejects an invalid Promotion Code.</t>
  </si>
  <si>
    <t>1. Enter Number of Tickets = 5.
2. Select Seat Type = VIP.
3. Select Customer Category = Member.
4. Enter Promotion Code = ABC123.
5. Click Book.</t>
  </si>
  <si>
    <t>Number of Tickets = 5
Seat Type = VIP
Customer Category = Member
Promotion Code = ABC123</t>
  </si>
  <si>
    <t>System displays: "Invalid Promotion Code."</t>
  </si>
  <si>
    <t>TC08</t>
  </si>
  <si>
    <t>Verify that a Regular customer can book the maximum of 6 Standard tickets.</t>
  </si>
  <si>
    <t>1. Enter Number of Tickets = 6.
2. Select Seat Type = Standard.
3. Select Customer Category = Regular.
4. Enter Promotion Code = MOVIE2026.
5. Click Book.</t>
  </si>
  <si>
    <t>Number of Tickets = 6
Seat Type = Standard
Customer Category = Regular
Promotion Code = MOVIE2026</t>
  </si>
  <si>
    <t>System displays: "Booking successful. Total charge: 900,000 VND."</t>
  </si>
  <si>
    <t>Boundary Value Analysis - on-point</t>
  </si>
  <si>
    <t>TC09</t>
  </si>
  <si>
    <t>Verify that a Regular customer cannot book more than 6 tickets.</t>
  </si>
  <si>
    <t>1. Enter Number of Tickets = 7.
2. Select Seat Type = Standard.
3. Select Customer Category = Regular.
4. Enter Promotion Code = MOVIE2026.
5. Click Book.</t>
  </si>
  <si>
    <t>Number of Tickets = 7
Seat Type = Standard
Customer Category = Regular
Promotion Code = MOVIE2026</t>
  </si>
  <si>
    <t>System displays: "Booking limit exceeded."</t>
  </si>
  <si>
    <t>TC10</t>
  </si>
  <si>
    <t>Verify that a Member can book the maximum of 12 Standard tickets.</t>
  </si>
  <si>
    <t>1. Enter Number of Tickets = 12.
2. Select Seat Type = Standard.
3. Select Customer Category = Member.
4. Enter Promotion Code = MOVIE2026.
5. Click Book.</t>
  </si>
  <si>
    <t>Number of Tickets = 12
Seat Type = Standard
Customer Category = Member
Promotion Code = MOVIE2026</t>
  </si>
  <si>
    <t>System displays: "Booking successful. Total charge: 1,620,000 VND."</t>
  </si>
  <si>
    <t>TC11</t>
  </si>
  <si>
    <t>Verify that a Member cannot book more than 12 tickets.</t>
  </si>
  <si>
    <t>1. Enter Number of Tickets = 13.
2. Select Seat Type = Standard.
3. Select Customer Category = Member.
4. Enter Promotion Code = MOVIE2026.
5. Click Book.</t>
  </si>
  <si>
    <t>Number of Tickets = 13
Seat Type = Standard
Customer Category = Member
Promotion Code = MOVIE2026</t>
  </si>
  <si>
    <t>TC12</t>
  </si>
  <si>
    <t>Verify that the system calculates the total charge correctly for Standard seats and a Regular customer.</t>
  </si>
  <si>
    <t>1. Enter Number of Tickets = 3.
2. Select Seat Type = Standard.
3. Select Customer Category = Regular.
4. Enter Promotion Code = MOVIE2026.
5. Click Book.</t>
  </si>
  <si>
    <t>Number of Tickets = 3
Seat Type = Standard
Customer Category = Regular
Promotion Code = MOVIE2026</t>
  </si>
  <si>
    <t>System displays: "Booking successful. Total charge: 450,000 VND."</t>
  </si>
  <si>
    <t>Decision Table - Standard / Regular</t>
  </si>
  <si>
    <t>TC13</t>
  </si>
  <si>
    <t>Verify that the system applies a 10% discount for a Member booking Standard seats.</t>
  </si>
  <si>
    <t>1. Enter Number of Tickets = 5.
2. Select Seat Type = Standard.
3. Select Customer Category = Member.
4. Enter Promotion Code = MOVIE2026.
5. Click Book.</t>
  </si>
  <si>
    <t>Number of Tickets = 5
Seat Type = Standard
Customer Category = Member
Promotion Code = MOVIE2026</t>
  </si>
  <si>
    <t>System displays: "Booking successful. Total charge: 675,000 VND."</t>
  </si>
  <si>
    <t>Decision Table - Standard / Member</t>
  </si>
  <si>
    <t>TC14</t>
  </si>
  <si>
    <t>Verify that the system calculates the total charge correctly for VIP seats and a Regular customer.</t>
  </si>
  <si>
    <t>1. Enter Number of Tickets = 2.
2. Select Seat Type = VIP.
3. Select Customer Category = Regular.
4. Enter Promotion Code = MOVIE2026.
5. Click Book.</t>
  </si>
  <si>
    <t>Number of Tickets = 2
Seat Type = VIP
Customer Category = Regular
Promotion Code = MOVIE2026</t>
  </si>
  <si>
    <t>System displays: "Booking successful. Total charge: 500,000 VND."</t>
  </si>
  <si>
    <t>Decision Table - VIP / Regular</t>
  </si>
  <si>
    <t>TC15</t>
  </si>
  <si>
    <t>Verify that the system applies a 15% discount for a Member booking VIP seats.</t>
  </si>
  <si>
    <t>1. Enter Number of Tickets = 4.
2. Select Seat Type = VIP.
3. Select Customer Category = Member.
4. Enter Promotion Code = MOVIE2026.
5. Click Book.</t>
  </si>
  <si>
    <t>Number of Tickets = 4
Seat Type = VIP
Customer Category = Member
Promotion Code = MOVIE2026</t>
  </si>
  <si>
    <t>System displays: "Booking successful. Total charge: 850,000 VND."</t>
  </si>
  <si>
    <t>Decision Table - VIP /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</si>
</sst>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0">
    <font>
      <sz val="11"/>
      <color theme="1"/>
      <name val="Calibri"/>
    </font>
    <font>
      <sz val="11"/>
      <name val="ＭＳ Ｐゴシック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10"/>
      <color indexed="9"/>
      <name val="Tahoma"/>
    </font>
    <font>
      <b/>
      <sz val="8"/>
      <color indexed="9"/>
      <name val="Tahoma"/>
    </font>
    <font>
      <sz val="8"/>
      <color indexed="9"/>
      <name val="Tahoma"/>
    </font>
    <font>
      <b/>
      <sz val="12"/>
      <name val="Tahoma"/>
    </font>
    <font>
      <sz val="11"/>
      <name val="Tahoma"/>
    </font>
    <font>
      <sz val="8"/>
      <color indexed="17"/>
      <name val="Tahoma"/>
    </font>
    <font>
      <sz val="11"/>
      <color theme="10"/>
      <name val="Calibri"/>
    </font>
    <font>
      <b/>
      <sz val="8"/>
      <color rgb="FFFF0000"/>
      <name val="Tahoma"/>
    </font>
    <font>
      <sz val="8"/>
      <color theme="4"/>
      <name val="Tahoma"/>
    </font>
    <font>
      <i/>
      <sz val="8"/>
      <color theme="4"/>
      <name val="Tahoma"/>
    </font>
    <font>
      <b/>
      <sz val="8"/>
      <color theme="4"/>
      <name val="Tahoma"/>
    </font>
    <font>
      <b/>
      <sz val="8"/>
      <color theme="1"/>
      <name val="Tahoma"/>
    </font>
    <font>
      <sz val="11"/>
      <color rgb="FF0070C0"/>
      <name val="Calibri"/>
    </font>
    <font>
      <b/>
      <sz val="8"/>
      <color rgb="FF0070C0"/>
      <name val="Tahoma"/>
    </font>
    <font>
      <b/>
      <sz val="11"/>
      <color theme="1"/>
      <name val="Calibri"/>
    </font>
    <font>
      <sz val="8"/>
      <name val="Tahoma"/>
      <family val="2"/>
    </font>
    <font>
      <sz val="8"/>
      <color theme="1"/>
      <name val="Tahoma"/>
      <family val="2"/>
    </font>
    <font>
      <b/>
      <sz val="16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8"/>
      <color theme="1"/>
      <name val="Tahoma"/>
      <family val="2"/>
    </font>
    <font>
      <sz val="11"/>
      <color theme="1"/>
      <name val="Calibri"/>
      <family val="2"/>
    </font>
    <font>
      <sz val="11"/>
      <color theme="1"/>
      <name val="Tahoma"/>
      <family val="2"/>
    </font>
    <font>
      <sz val="8"/>
      <name val="Calibri"/>
      <family val="2"/>
    </font>
    <font>
      <sz val="8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FFF00"/>
      </patternFill>
    </fill>
  </fills>
  <borders count="61">
    <border>
      <left/>
      <right/>
      <top/>
      <bottom/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</cellStyleXfs>
  <cellXfs count="162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4" fillId="2" borderId="14" xfId="2" applyFont="1" applyFill="1" applyBorder="1" applyAlignment="1">
      <alignment horizontal="left" wrapText="1"/>
    </xf>
    <xf numFmtId="0" fontId="2" fillId="0" borderId="28" xfId="1" applyFont="1" applyBorder="1"/>
    <xf numFmtId="0" fontId="3" fillId="0" borderId="0" xfId="1" applyFont="1" applyAlignment="1">
      <alignment horizontal="left"/>
    </xf>
    <xf numFmtId="0" fontId="8" fillId="0" borderId="31" xfId="1" applyFont="1" applyBorder="1" applyAlignment="1">
      <alignment horizontal="center"/>
    </xf>
    <xf numFmtId="0" fontId="2" fillId="3" borderId="11" xfId="1" applyFont="1" applyFill="1" applyBorder="1" applyAlignment="1">
      <alignment horizontal="center" vertical="top"/>
    </xf>
    <xf numFmtId="0" fontId="2" fillId="3" borderId="12" xfId="1" applyFont="1" applyFill="1" applyBorder="1" applyAlignment="1">
      <alignment horizontal="right" vertical="top"/>
    </xf>
    <xf numFmtId="0" fontId="8" fillId="0" borderId="3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3" borderId="11" xfId="1" applyFont="1" applyFill="1" applyBorder="1"/>
    <xf numFmtId="0" fontId="2" fillId="3" borderId="12" xfId="1" applyFont="1" applyFill="1" applyBorder="1" applyAlignment="1">
      <alignment horizontal="right"/>
    </xf>
    <xf numFmtId="0" fontId="9" fillId="3" borderId="11" xfId="1" applyFont="1" applyFill="1" applyBorder="1"/>
    <xf numFmtId="0" fontId="8" fillId="0" borderId="35" xfId="1" applyFont="1" applyBorder="1" applyAlignment="1">
      <alignment horizontal="center"/>
    </xf>
    <xf numFmtId="0" fontId="10" fillId="0" borderId="32" xfId="1" applyFont="1" applyBorder="1" applyAlignment="1">
      <alignment horizontal="left"/>
    </xf>
    <xf numFmtId="0" fontId="2" fillId="0" borderId="32" xfId="1" applyFont="1" applyBorder="1" applyAlignment="1">
      <alignment horizontal="center"/>
    </xf>
    <xf numFmtId="0" fontId="2" fillId="0" borderId="32" xfId="1" applyFont="1" applyBorder="1"/>
    <xf numFmtId="165" fontId="2" fillId="0" borderId="32" xfId="1" applyNumberFormat="1" applyFont="1" applyBorder="1" applyAlignment="1">
      <alignment vertical="top"/>
    </xf>
    <xf numFmtId="0" fontId="6" fillId="0" borderId="0" xfId="1" applyFont="1" applyAlignment="1">
      <alignment vertical="top"/>
    </xf>
    <xf numFmtId="0" fontId="2" fillId="0" borderId="0" xfId="0" applyFont="1"/>
    <xf numFmtId="0" fontId="13" fillId="3" borderId="12" xfId="1" applyFont="1" applyFill="1" applyBorder="1" applyAlignment="1">
      <alignment horizontal="right" vertical="top"/>
    </xf>
    <xf numFmtId="0" fontId="13" fillId="3" borderId="12" xfId="1" applyFont="1" applyFill="1" applyBorder="1" applyAlignment="1">
      <alignment horizontal="right"/>
    </xf>
    <xf numFmtId="0" fontId="2" fillId="5" borderId="26" xfId="1" applyFont="1" applyFill="1" applyBorder="1" applyAlignment="1">
      <alignment horizontal="center" vertical="center"/>
    </xf>
    <xf numFmtId="0" fontId="2" fillId="6" borderId="0" xfId="1" applyFont="1" applyFill="1"/>
    <xf numFmtId="0" fontId="3" fillId="6" borderId="0" xfId="1" applyFont="1" applyFill="1" applyAlignment="1">
      <alignment horizontal="left"/>
    </xf>
    <xf numFmtId="0" fontId="3" fillId="0" borderId="0" xfId="1" applyFont="1"/>
    <xf numFmtId="0" fontId="8" fillId="0" borderId="38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165" fontId="2" fillId="0" borderId="39" xfId="1" applyNumberFormat="1" applyFont="1" applyBorder="1" applyAlignment="1">
      <alignment vertical="top"/>
    </xf>
    <xf numFmtId="0" fontId="2" fillId="0" borderId="41" xfId="1" applyFont="1" applyBorder="1"/>
    <xf numFmtId="0" fontId="2" fillId="0" borderId="42" xfId="1" applyFont="1" applyBorder="1"/>
    <xf numFmtId="0" fontId="7" fillId="6" borderId="43" xfId="1" applyFont="1" applyFill="1" applyBorder="1"/>
    <xf numFmtId="0" fontId="3" fillId="3" borderId="29" xfId="1" applyFont="1" applyFill="1" applyBorder="1" applyAlignment="1">
      <alignment horizontal="left" vertical="top"/>
    </xf>
    <xf numFmtId="0" fontId="3" fillId="3" borderId="11" xfId="1" applyFont="1" applyFill="1" applyBorder="1" applyAlignment="1">
      <alignment horizontal="left" vertical="top"/>
    </xf>
    <xf numFmtId="0" fontId="15" fillId="3" borderId="11" xfId="1" applyFont="1" applyFill="1" applyBorder="1" applyAlignment="1">
      <alignment horizontal="left" vertical="top"/>
    </xf>
    <xf numFmtId="0" fontId="16" fillId="6" borderId="45" xfId="1" applyFont="1" applyFill="1" applyBorder="1" applyAlignment="1">
      <alignment vertical="center"/>
    </xf>
    <xf numFmtId="0" fontId="16" fillId="6" borderId="46" xfId="1" applyFont="1" applyFill="1" applyBorder="1" applyAlignment="1">
      <alignment vertical="center"/>
    </xf>
    <xf numFmtId="0" fontId="16" fillId="6" borderId="46" xfId="1" applyFont="1" applyFill="1" applyBorder="1" applyAlignment="1">
      <alignment vertical="top"/>
    </xf>
    <xf numFmtId="0" fontId="16" fillId="6" borderId="47" xfId="1" applyFont="1" applyFill="1" applyBorder="1" applyAlignment="1">
      <alignment vertical="top"/>
    </xf>
    <xf numFmtId="0" fontId="16" fillId="6" borderId="47" xfId="1" applyFont="1" applyFill="1" applyBorder="1" applyAlignment="1">
      <alignment vertical="center"/>
    </xf>
    <xf numFmtId="0" fontId="16" fillId="6" borderId="45" xfId="1" applyFont="1" applyFill="1" applyBorder="1" applyAlignment="1">
      <alignment vertical="top"/>
    </xf>
    <xf numFmtId="0" fontId="16" fillId="6" borderId="49" xfId="1" applyFont="1" applyFill="1" applyBorder="1" applyAlignment="1">
      <alignment vertical="top"/>
    </xf>
    <xf numFmtId="0" fontId="6" fillId="6" borderId="49" xfId="1" applyFont="1" applyFill="1" applyBorder="1" applyAlignment="1">
      <alignment vertical="top"/>
    </xf>
    <xf numFmtId="0" fontId="6" fillId="6" borderId="50" xfId="1" applyFont="1" applyFill="1" applyBorder="1" applyAlignment="1">
      <alignment vertical="top"/>
    </xf>
    <xf numFmtId="0" fontId="2" fillId="3" borderId="2" xfId="1" applyFont="1" applyFill="1" applyBorder="1" applyAlignment="1">
      <alignment horizontal="center" vertical="top"/>
    </xf>
    <xf numFmtId="0" fontId="2" fillId="3" borderId="4" xfId="1" applyFont="1" applyFill="1" applyBorder="1" applyAlignment="1">
      <alignment horizontal="right" vertical="top"/>
    </xf>
    <xf numFmtId="0" fontId="13" fillId="0" borderId="52" xfId="1" applyFont="1" applyBorder="1" applyAlignment="1">
      <alignment vertical="top"/>
    </xf>
    <xf numFmtId="0" fontId="13" fillId="3" borderId="30" xfId="1" applyFont="1" applyFill="1" applyBorder="1" applyAlignment="1">
      <alignment horizontal="right" vertical="top"/>
    </xf>
    <xf numFmtId="0" fontId="3" fillId="3" borderId="53" xfId="1" applyFont="1" applyFill="1" applyBorder="1" applyAlignment="1">
      <alignment horizontal="left" vertical="top"/>
    </xf>
    <xf numFmtId="0" fontId="3" fillId="3" borderId="54" xfId="1" applyFont="1" applyFill="1" applyBorder="1" applyAlignment="1">
      <alignment horizontal="left" vertical="top"/>
    </xf>
    <xf numFmtId="0" fontId="2" fillId="3" borderId="33" xfId="1" applyFont="1" applyFill="1" applyBorder="1" applyAlignment="1">
      <alignment horizontal="center" vertical="top"/>
    </xf>
    <xf numFmtId="0" fontId="2" fillId="3" borderId="34" xfId="1" applyFont="1" applyFill="1" applyBorder="1" applyAlignment="1">
      <alignment horizontal="right" vertical="top"/>
    </xf>
    <xf numFmtId="0" fontId="2" fillId="0" borderId="31" xfId="1" applyFont="1" applyBorder="1" applyAlignment="1">
      <alignment horizontal="left"/>
    </xf>
    <xf numFmtId="0" fontId="2" fillId="0" borderId="31" xfId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3" fillId="3" borderId="55" xfId="1" applyFont="1" applyFill="1" applyBorder="1"/>
    <xf numFmtId="0" fontId="3" fillId="3" borderId="2" xfId="1" applyFont="1" applyFill="1" applyBorder="1"/>
    <xf numFmtId="0" fontId="2" fillId="3" borderId="4" xfId="1" applyFont="1" applyFill="1" applyBorder="1" applyAlignment="1">
      <alignment horizontal="right"/>
    </xf>
    <xf numFmtId="0" fontId="8" fillId="0" borderId="56" xfId="1" applyFont="1" applyBorder="1" applyAlignment="1">
      <alignment horizontal="center"/>
    </xf>
    <xf numFmtId="0" fontId="8" fillId="0" borderId="57" xfId="1" applyFont="1" applyBorder="1" applyAlignment="1">
      <alignment horizontal="center"/>
    </xf>
    <xf numFmtId="0" fontId="3" fillId="3" borderId="53" xfId="1" applyFont="1" applyFill="1" applyBorder="1"/>
    <xf numFmtId="0" fontId="3" fillId="3" borderId="58" xfId="1" applyFont="1" applyFill="1" applyBorder="1"/>
    <xf numFmtId="0" fontId="2" fillId="3" borderId="59" xfId="1" applyFont="1" applyFill="1" applyBorder="1"/>
    <xf numFmtId="0" fontId="13" fillId="3" borderId="44" xfId="1" applyFont="1" applyFill="1" applyBorder="1" applyAlignment="1">
      <alignment horizontal="right"/>
    </xf>
    <xf numFmtId="0" fontId="8" fillId="0" borderId="41" xfId="1" applyFont="1" applyBorder="1" applyAlignment="1">
      <alignment horizontal="center"/>
    </xf>
    <xf numFmtId="0" fontId="8" fillId="0" borderId="42" xfId="1" applyFont="1" applyBorder="1" applyAlignment="1">
      <alignment horizontal="center"/>
    </xf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0" fontId="18" fillId="0" borderId="0" xfId="1" applyFont="1"/>
    <xf numFmtId="0" fontId="17" fillId="0" borderId="32" xfId="0" applyFont="1" applyBorder="1" applyAlignment="1">
      <alignment horizontal="center" vertical="top"/>
    </xf>
    <xf numFmtId="0" fontId="12" fillId="0" borderId="0" xfId="1" applyFont="1" applyAlignment="1">
      <alignment horizontal="left"/>
    </xf>
    <xf numFmtId="0" fontId="17" fillId="0" borderId="32" xfId="0" applyFont="1" applyBorder="1" applyAlignment="1">
      <alignment horizontal="right" vertical="top" wrapText="1"/>
    </xf>
    <xf numFmtId="0" fontId="17" fillId="0" borderId="32" xfId="0" applyFont="1" applyBorder="1" applyAlignment="1">
      <alignment vertical="top" wrapText="1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horizontal="right" vertical="top"/>
    </xf>
    <xf numFmtId="0" fontId="19" fillId="6" borderId="32" xfId="0" applyFont="1" applyFill="1" applyBorder="1" applyAlignment="1">
      <alignment horizontal="center"/>
    </xf>
    <xf numFmtId="0" fontId="4" fillId="8" borderId="51" xfId="1" applyFont="1" applyFill="1" applyBorder="1" applyAlignment="1">
      <alignment horizontal="right"/>
    </xf>
    <xf numFmtId="0" fontId="14" fillId="8" borderId="52" xfId="1" applyFont="1" applyFill="1" applyBorder="1" applyAlignment="1">
      <alignment horizontal="right"/>
    </xf>
    <xf numFmtId="0" fontId="13" fillId="8" borderId="52" xfId="1" applyFont="1" applyFill="1" applyBorder="1" applyAlignment="1">
      <alignment horizontal="right"/>
    </xf>
    <xf numFmtId="0" fontId="2" fillId="8" borderId="52" xfId="1" applyFont="1" applyFill="1" applyBorder="1" applyAlignment="1">
      <alignment horizontal="right"/>
    </xf>
    <xf numFmtId="0" fontId="2" fillId="8" borderId="56" xfId="1" applyFont="1" applyFill="1" applyBorder="1" applyAlignment="1">
      <alignment horizontal="left"/>
    </xf>
    <xf numFmtId="0" fontId="2" fillId="8" borderId="32" xfId="1" applyFont="1" applyFill="1" applyBorder="1" applyAlignment="1">
      <alignment horizontal="left"/>
    </xf>
    <xf numFmtId="0" fontId="2" fillId="8" borderId="32" xfId="1" applyFont="1" applyFill="1" applyBorder="1"/>
    <xf numFmtId="0" fontId="2" fillId="8" borderId="41" xfId="1" applyFont="1" applyFill="1" applyBorder="1" applyAlignment="1">
      <alignment horizontal="left"/>
    </xf>
    <xf numFmtId="0" fontId="21" fillId="4" borderId="32" xfId="0" applyFont="1" applyFill="1" applyBorder="1" applyAlignment="1">
      <alignment horizontal="center" vertical="top" wrapText="1"/>
    </xf>
    <xf numFmtId="0" fontId="23" fillId="0" borderId="36" xfId="3" applyFont="1" applyFill="1" applyBorder="1" applyAlignment="1">
      <alignment horizontal="left" vertical="top" wrapText="1"/>
    </xf>
    <xf numFmtId="0" fontId="24" fillId="0" borderId="36" xfId="0" applyFont="1" applyBorder="1" applyAlignment="1">
      <alignment horizontal="left" vertical="top" wrapText="1"/>
    </xf>
    <xf numFmtId="0" fontId="24" fillId="0" borderId="36" xfId="0" applyFont="1" applyBorder="1" applyAlignment="1">
      <alignment vertical="top" wrapText="1"/>
    </xf>
    <xf numFmtId="0" fontId="24" fillId="0" borderId="0" xfId="0" applyFont="1"/>
    <xf numFmtId="0" fontId="23" fillId="0" borderId="36" xfId="2" applyFont="1" applyBorder="1" applyAlignment="1">
      <alignment horizontal="left" vertical="top" wrapText="1"/>
    </xf>
    <xf numFmtId="0" fontId="24" fillId="0" borderId="37" xfId="2" applyFont="1" applyBorder="1" applyAlignment="1">
      <alignment horizontal="left" vertical="top" wrapText="1"/>
    </xf>
    <xf numFmtId="0" fontId="24" fillId="0" borderId="36" xfId="2" applyFont="1" applyBorder="1" applyAlignment="1">
      <alignment horizontal="left" vertical="top" wrapText="1"/>
    </xf>
    <xf numFmtId="0" fontId="25" fillId="5" borderId="32" xfId="0" applyFont="1" applyFill="1" applyBorder="1" applyAlignment="1">
      <alignment horizontal="center" vertical="top" wrapText="1"/>
    </xf>
    <xf numFmtId="16" fontId="21" fillId="4" borderId="32" xfId="0" applyNumberFormat="1" applyFont="1" applyFill="1" applyBorder="1" applyAlignment="1">
      <alignment horizontal="center" vertical="top" wrapText="1"/>
    </xf>
    <xf numFmtId="0" fontId="27" fillId="4" borderId="32" xfId="0" applyFont="1" applyFill="1" applyBorder="1" applyAlignment="1">
      <alignment horizontal="center" vertical="top" wrapText="1"/>
    </xf>
    <xf numFmtId="0" fontId="27" fillId="4" borderId="32" xfId="0" applyFont="1" applyFill="1" applyBorder="1" applyAlignment="1">
      <alignment horizontal="left" vertical="top" wrapText="1"/>
    </xf>
    <xf numFmtId="0" fontId="27" fillId="4" borderId="32" xfId="0" applyFont="1" applyFill="1" applyBorder="1" applyAlignment="1">
      <alignment vertical="top" wrapText="1"/>
    </xf>
    <xf numFmtId="0" fontId="20" fillId="0" borderId="0" xfId="0" applyFont="1"/>
    <xf numFmtId="0" fontId="27" fillId="0" borderId="0" xfId="0" applyFont="1"/>
    <xf numFmtId="0" fontId="27" fillId="0" borderId="60" xfId="0" applyFont="1" applyBorder="1" applyAlignment="1">
      <alignment horizontal="center" vertical="top" wrapText="1"/>
    </xf>
    <xf numFmtId="0" fontId="27" fillId="0" borderId="60" xfId="0" applyFont="1" applyBorder="1" applyAlignment="1">
      <alignment vertical="top" wrapText="1"/>
    </xf>
    <xf numFmtId="0" fontId="27" fillId="0" borderId="60" xfId="0" applyFont="1" applyBorder="1" applyAlignment="1">
      <alignment horizontal="left" vertical="top" wrapText="1"/>
    </xf>
    <xf numFmtId="0" fontId="29" fillId="0" borderId="0" xfId="0" applyFont="1"/>
    <xf numFmtId="0" fontId="22" fillId="0" borderId="0" xfId="2" applyFont="1" applyAlignment="1">
      <alignment horizontal="center" vertical="top" wrapText="1"/>
    </xf>
    <xf numFmtId="0" fontId="3" fillId="5" borderId="13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3" fillId="5" borderId="19" xfId="1" applyFont="1" applyFill="1" applyBorder="1" applyAlignment="1">
      <alignment horizontal="center" vertical="center" wrapText="1"/>
    </xf>
    <xf numFmtId="0" fontId="3" fillId="5" borderId="15" xfId="1" applyFont="1" applyFill="1" applyBorder="1" applyAlignment="1">
      <alignment horizontal="center" vertical="center" wrapText="1"/>
    </xf>
    <xf numFmtId="0" fontId="3" fillId="5" borderId="20" xfId="1" applyFont="1" applyFill="1" applyBorder="1" applyAlignment="1">
      <alignment horizontal="center" vertical="center" wrapText="1"/>
    </xf>
    <xf numFmtId="0" fontId="2" fillId="0" borderId="44" xfId="1" applyFont="1" applyBorder="1" applyAlignment="1">
      <alignment horizontal="left" vertical="top"/>
    </xf>
    <xf numFmtId="0" fontId="2" fillId="0" borderId="41" xfId="1" applyFont="1" applyBorder="1" applyAlignment="1">
      <alignment horizontal="left" vertical="top"/>
    </xf>
    <xf numFmtId="0" fontId="13" fillId="0" borderId="11" xfId="1" applyFont="1" applyBorder="1" applyAlignment="1">
      <alignment horizontal="right"/>
    </xf>
    <xf numFmtId="0" fontId="13" fillId="0" borderId="12" xfId="1" applyFont="1" applyBorder="1" applyAlignment="1">
      <alignment horizontal="right"/>
    </xf>
    <xf numFmtId="0" fontId="13" fillId="0" borderId="0" xfId="1" applyFont="1" applyAlignment="1">
      <alignment horizontal="right"/>
    </xf>
    <xf numFmtId="0" fontId="13" fillId="0" borderId="52" xfId="1" applyFont="1" applyBorder="1" applyAlignment="1">
      <alignment horizontal="right"/>
    </xf>
    <xf numFmtId="0" fontId="13" fillId="0" borderId="29" xfId="1" applyFont="1" applyBorder="1" applyAlignment="1">
      <alignment horizontal="right"/>
    </xf>
    <xf numFmtId="0" fontId="13" fillId="0" borderId="30" xfId="1" applyFont="1" applyBorder="1" applyAlignment="1">
      <alignment horizontal="right"/>
    </xf>
    <xf numFmtId="164" fontId="5" fillId="7" borderId="48" xfId="1" applyNumberFormat="1" applyFont="1" applyFill="1" applyBorder="1" applyAlignment="1">
      <alignment horizontal="center" vertical="center"/>
    </xf>
    <xf numFmtId="164" fontId="5" fillId="7" borderId="43" xfId="1" applyNumberFormat="1" applyFont="1" applyFill="1" applyBorder="1" applyAlignment="1">
      <alignment horizontal="center" vertical="center"/>
    </xf>
    <xf numFmtId="0" fontId="2" fillId="0" borderId="30" xfId="1" applyFont="1" applyBorder="1" applyAlignment="1">
      <alignment horizontal="left"/>
    </xf>
    <xf numFmtId="0" fontId="2" fillId="0" borderId="31" xfId="1" applyFont="1" applyBorder="1" applyAlignment="1">
      <alignment horizontal="left"/>
    </xf>
    <xf numFmtId="0" fontId="2" fillId="0" borderId="12" xfId="1" applyFont="1" applyBorder="1" applyAlignment="1">
      <alignment horizontal="left"/>
    </xf>
    <xf numFmtId="0" fontId="2" fillId="0" borderId="32" xfId="1" applyFont="1" applyBorder="1" applyAlignment="1">
      <alignment horizontal="left"/>
    </xf>
    <xf numFmtId="0" fontId="2" fillId="0" borderId="12" xfId="1" applyFont="1" applyBorder="1" applyAlignment="1">
      <alignment horizontal="left" vertical="top"/>
    </xf>
    <xf numFmtId="0" fontId="2" fillId="0" borderId="32" xfId="1" applyFont="1" applyBorder="1" applyAlignment="1">
      <alignment horizontal="left" vertical="top"/>
    </xf>
    <xf numFmtId="0" fontId="3" fillId="5" borderId="1" xfId="2" applyFont="1" applyFill="1" applyBorder="1" applyAlignment="1">
      <alignment horizontal="left" wrapText="1"/>
    </xf>
    <xf numFmtId="0" fontId="3" fillId="5" borderId="2" xfId="2" applyFont="1" applyFill="1" applyBorder="1" applyAlignment="1">
      <alignment horizontal="left" wrapText="1"/>
    </xf>
    <xf numFmtId="49" fontId="14" fillId="2" borderId="3" xfId="2" applyNumberFormat="1" applyFont="1" applyFill="1" applyBorder="1" applyAlignment="1">
      <alignment horizontal="left" wrapText="1"/>
    </xf>
    <xf numFmtId="0" fontId="14" fillId="2" borderId="2" xfId="2" applyFont="1" applyFill="1" applyBorder="1" applyAlignment="1">
      <alignment horizontal="left" wrapText="1"/>
    </xf>
    <xf numFmtId="0" fontId="14" fillId="2" borderId="4" xfId="2" applyFont="1" applyFill="1" applyBorder="1" applyAlignment="1">
      <alignment horizontal="left" wrapText="1"/>
    </xf>
    <xf numFmtId="0" fontId="3" fillId="5" borderId="5" xfId="2" applyFont="1" applyFill="1" applyBorder="1" applyAlignment="1">
      <alignment horizontal="left" wrapText="1"/>
    </xf>
    <xf numFmtId="0" fontId="3" fillId="5" borderId="6" xfId="2" applyFont="1" applyFill="1" applyBorder="1" applyAlignment="1">
      <alignment horizontal="left" wrapText="1"/>
    </xf>
    <xf numFmtId="49" fontId="13" fillId="2" borderId="3" xfId="2" applyNumberFormat="1" applyFont="1" applyFill="1" applyBorder="1" applyAlignment="1">
      <alignment horizontal="center" wrapText="1"/>
    </xf>
    <xf numFmtId="0" fontId="13" fillId="2" borderId="2" xfId="2" applyFont="1" applyFill="1" applyBorder="1" applyAlignment="1">
      <alignment horizontal="center" wrapText="1"/>
    </xf>
    <xf numFmtId="0" fontId="13" fillId="2" borderId="7" xfId="2" applyFont="1" applyFill="1" applyBorder="1" applyAlignment="1">
      <alignment horizontal="center" wrapText="1"/>
    </xf>
    <xf numFmtId="0" fontId="2" fillId="5" borderId="21" xfId="1" applyFont="1" applyFill="1" applyBorder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0" fontId="2" fillId="5" borderId="24" xfId="1" applyFont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/>
    </xf>
    <xf numFmtId="0" fontId="2" fillId="5" borderId="26" xfId="1" applyFont="1" applyFill="1" applyBorder="1" applyAlignment="1">
      <alignment horizontal="center" vertical="center"/>
    </xf>
    <xf numFmtId="0" fontId="2" fillId="5" borderId="27" xfId="1" applyFont="1" applyFill="1" applyBorder="1" applyAlignment="1">
      <alignment horizontal="center" vertical="center"/>
    </xf>
    <xf numFmtId="0" fontId="3" fillId="5" borderId="8" xfId="2" applyFont="1" applyFill="1" applyBorder="1" applyAlignment="1">
      <alignment horizontal="left" wrapText="1"/>
    </xf>
    <xf numFmtId="0" fontId="3" fillId="5" borderId="9" xfId="2" applyFont="1" applyFill="1" applyBorder="1" applyAlignment="1">
      <alignment horizontal="left" wrapText="1"/>
    </xf>
    <xf numFmtId="0" fontId="14" fillId="2" borderId="13" xfId="2" applyFont="1" applyFill="1" applyBorder="1" applyAlignment="1">
      <alignment horizontal="center" wrapText="1"/>
    </xf>
    <xf numFmtId="0" fontId="14" fillId="2" borderId="14" xfId="2" applyFont="1" applyFill="1" applyBorder="1" applyAlignment="1">
      <alignment horizontal="center" wrapText="1"/>
    </xf>
    <xf numFmtId="0" fontId="3" fillId="5" borderId="10" xfId="2" applyFont="1" applyFill="1" applyBorder="1" applyAlignment="1">
      <alignment horizontal="left" wrapText="1"/>
    </xf>
    <xf numFmtId="0" fontId="3" fillId="5" borderId="11" xfId="2" applyFont="1" applyFill="1" applyBorder="1" applyAlignment="1">
      <alignment horizontal="left" wrapText="1"/>
    </xf>
    <xf numFmtId="0" fontId="3" fillId="5" borderId="12" xfId="2" applyFont="1" applyFill="1" applyBorder="1" applyAlignment="1">
      <alignment horizontal="left" wrapText="1"/>
    </xf>
    <xf numFmtId="0" fontId="2" fillId="5" borderId="15" xfId="2" applyFont="1" applyFill="1" applyBorder="1" applyAlignment="1">
      <alignment horizontal="center" wrapText="1"/>
    </xf>
    <xf numFmtId="0" fontId="2" fillId="5" borderId="14" xfId="2" applyFont="1" applyFill="1" applyBorder="1" applyAlignment="1">
      <alignment horizontal="center" wrapText="1"/>
    </xf>
    <xf numFmtId="0" fontId="2" fillId="5" borderId="16" xfId="2" applyFont="1" applyFill="1" applyBorder="1" applyAlignment="1">
      <alignment horizontal="center" wrapText="1"/>
    </xf>
    <xf numFmtId="0" fontId="14" fillId="2" borderId="17" xfId="2" applyFont="1" applyFill="1" applyBorder="1" applyAlignment="1">
      <alignment horizontal="left" wrapText="1"/>
    </xf>
    <xf numFmtId="0" fontId="14" fillId="2" borderId="18" xfId="2" applyFont="1" applyFill="1" applyBorder="1" applyAlignment="1">
      <alignment horizontal="left" wrapText="1"/>
    </xf>
    <xf numFmtId="0" fontId="3" fillId="5" borderId="8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26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">
    <cellStyle name="Hyperlink" xfId="3" xr:uid="{00000000-0005-0000-0000-000000000000}"/>
    <cellStyle name="Normal" xfId="0" builtinId="0"/>
    <cellStyle name="Normal_Sheet1" xfId="2" xr:uid="{00000000-0005-0000-0000-000002000000}"/>
    <cellStyle name="Normal_Template_UnitTest Case_v0.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50800</xdr:colOff>
      <xdr:row>51</xdr:row>
      <xdr:rowOff>76200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7BB83501-AF65-D4A6-68E3-836829A33C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50800</xdr:colOff>
      <xdr:row>51</xdr:row>
      <xdr:rowOff>76200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5F410C78-CF63-4858-DE66-94156BCA79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971550</xdr:colOff>
      <xdr:row>14</xdr:row>
      <xdr:rowOff>107950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9E95D7B8-E764-E09D-F647-CA3102BE26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971550</xdr:colOff>
      <xdr:row>14</xdr:row>
      <xdr:rowOff>387350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28637E1-2ACB-7D15-4E0A-7968677D99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483350" cy="10814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4.5"/>
  <cols>
    <col min="1" max="1" width="8" customWidth="1"/>
    <col min="2" max="2" width="34.6328125" customWidth="1"/>
    <col min="3" max="3" width="4.36328125" customWidth="1"/>
    <col min="4" max="4" width="36.1796875" customWidth="1"/>
  </cols>
  <sheetData>
    <row r="1" spans="1:4">
      <c r="A1" s="78" t="s">
        <v>0</v>
      </c>
      <c r="B1" s="78" t="s">
        <v>1</v>
      </c>
      <c r="C1" s="78" t="s">
        <v>2</v>
      </c>
      <c r="D1" s="78" t="s">
        <v>3</v>
      </c>
    </row>
    <row r="2" spans="1:4">
      <c r="A2" s="72">
        <v>1</v>
      </c>
      <c r="B2" s="75" t="s">
        <v>4</v>
      </c>
      <c r="C2" s="74">
        <v>3</v>
      </c>
      <c r="D2" s="76" t="s">
        <v>5</v>
      </c>
    </row>
    <row r="3" spans="1:4">
      <c r="A3" s="72">
        <v>2</v>
      </c>
      <c r="B3" s="75"/>
      <c r="C3" s="74"/>
      <c r="D3" s="76"/>
    </row>
    <row r="4" spans="1:4">
      <c r="A4" s="72">
        <v>3</v>
      </c>
      <c r="B4" s="75"/>
      <c r="C4" s="74"/>
      <c r="D4" s="76"/>
    </row>
    <row r="5" spans="1:4">
      <c r="A5" s="72">
        <v>4</v>
      </c>
      <c r="B5" s="76"/>
      <c r="C5" s="77"/>
      <c r="D5" s="76"/>
    </row>
    <row r="6" spans="1:4">
      <c r="A6" s="72">
        <v>5</v>
      </c>
      <c r="B6" s="76"/>
      <c r="C6" s="77"/>
      <c r="D6" s="75"/>
    </row>
    <row r="7" spans="1:4">
      <c r="A7" s="72">
        <v>6</v>
      </c>
      <c r="B7" s="76"/>
      <c r="C7" s="77"/>
      <c r="D7" s="75"/>
    </row>
    <row r="9" spans="1:4">
      <c r="A9" s="26" t="s">
        <v>6</v>
      </c>
      <c r="B9" s="71" t="s">
        <v>7</v>
      </c>
      <c r="C9" s="7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7"/>
  <sheetViews>
    <sheetView workbookViewId="0"/>
  </sheetViews>
  <sheetFormatPr defaultColWidth="9" defaultRowHeight="10"/>
  <cols>
    <col min="1" max="1" width="8.08984375" style="1" customWidth="1"/>
    <col min="2" max="2" width="13.36328125" style="5" customWidth="1"/>
    <col min="3" max="3" width="10.81640625" style="1" customWidth="1"/>
    <col min="4" max="4" width="11.36328125" style="2" customWidth="1"/>
    <col min="5" max="5" width="1.81640625" style="1" hidden="1" customWidth="1"/>
    <col min="6" max="21" width="2.90625" style="1" customWidth="1"/>
    <col min="22" max="22" width="9" style="69"/>
    <col min="23" max="23" width="24.1796875" style="1" customWidth="1"/>
    <col min="24" max="24" width="9" style="1"/>
    <col min="25" max="25" width="15.08984375" style="1" customWidth="1"/>
    <col min="26" max="256" width="9" style="1"/>
    <col min="257" max="257" width="8.08984375" style="1" customWidth="1"/>
    <col min="258" max="258" width="13.36328125" style="1" customWidth="1"/>
    <col min="259" max="259" width="10.81640625" style="1" customWidth="1"/>
    <col min="260" max="260" width="11.36328125" style="1" customWidth="1"/>
    <col min="261" max="261" width="0" style="1" hidden="1" customWidth="1"/>
    <col min="262" max="277" width="2.90625" style="1" customWidth="1"/>
    <col min="278" max="512" width="9" style="1"/>
    <col min="513" max="513" width="8.08984375" style="1" customWidth="1"/>
    <col min="514" max="514" width="13.36328125" style="1" customWidth="1"/>
    <col min="515" max="515" width="10.81640625" style="1" customWidth="1"/>
    <col min="516" max="516" width="11.36328125" style="1" customWidth="1"/>
    <col min="517" max="517" width="0" style="1" hidden="1" customWidth="1"/>
    <col min="518" max="533" width="2.90625" style="1" customWidth="1"/>
    <col min="534" max="768" width="9" style="1"/>
    <col min="769" max="769" width="8.08984375" style="1" customWidth="1"/>
    <col min="770" max="770" width="13.36328125" style="1" customWidth="1"/>
    <col min="771" max="771" width="10.81640625" style="1" customWidth="1"/>
    <col min="772" max="772" width="11.36328125" style="1" customWidth="1"/>
    <col min="773" max="773" width="0" style="1" hidden="1" customWidth="1"/>
    <col min="774" max="789" width="2.90625" style="1" customWidth="1"/>
    <col min="790" max="1024" width="9" style="1"/>
    <col min="1025" max="1025" width="8.08984375" style="1" customWidth="1"/>
    <col min="1026" max="1026" width="13.36328125" style="1" customWidth="1"/>
    <col min="1027" max="1027" width="10.81640625" style="1" customWidth="1"/>
    <col min="1028" max="1028" width="11.36328125" style="1" customWidth="1"/>
    <col min="1029" max="1029" width="0" style="1" hidden="1" customWidth="1"/>
    <col min="1030" max="1045" width="2.90625" style="1" customWidth="1"/>
    <col min="1046" max="1280" width="9" style="1"/>
    <col min="1281" max="1281" width="8.08984375" style="1" customWidth="1"/>
    <col min="1282" max="1282" width="13.36328125" style="1" customWidth="1"/>
    <col min="1283" max="1283" width="10.81640625" style="1" customWidth="1"/>
    <col min="1284" max="1284" width="11.36328125" style="1" customWidth="1"/>
    <col min="1285" max="1285" width="0" style="1" hidden="1" customWidth="1"/>
    <col min="1286" max="1301" width="2.90625" style="1" customWidth="1"/>
    <col min="1302" max="1536" width="9" style="1"/>
    <col min="1537" max="1537" width="8.08984375" style="1" customWidth="1"/>
    <col min="1538" max="1538" width="13.36328125" style="1" customWidth="1"/>
    <col min="1539" max="1539" width="10.81640625" style="1" customWidth="1"/>
    <col min="1540" max="1540" width="11.36328125" style="1" customWidth="1"/>
    <col min="1541" max="1541" width="0" style="1" hidden="1" customWidth="1"/>
    <col min="1542" max="1557" width="2.90625" style="1" customWidth="1"/>
    <col min="1558" max="1792" width="9" style="1"/>
    <col min="1793" max="1793" width="8.08984375" style="1" customWidth="1"/>
    <col min="1794" max="1794" width="13.36328125" style="1" customWidth="1"/>
    <col min="1795" max="1795" width="10.81640625" style="1" customWidth="1"/>
    <col min="1796" max="1796" width="11.36328125" style="1" customWidth="1"/>
    <col min="1797" max="1797" width="0" style="1" hidden="1" customWidth="1"/>
    <col min="1798" max="1813" width="2.90625" style="1" customWidth="1"/>
    <col min="1814" max="2048" width="9" style="1"/>
    <col min="2049" max="2049" width="8.08984375" style="1" customWidth="1"/>
    <col min="2050" max="2050" width="13.36328125" style="1" customWidth="1"/>
    <col min="2051" max="2051" width="10.81640625" style="1" customWidth="1"/>
    <col min="2052" max="2052" width="11.36328125" style="1" customWidth="1"/>
    <col min="2053" max="2053" width="0" style="1" hidden="1" customWidth="1"/>
    <col min="2054" max="2069" width="2.90625" style="1" customWidth="1"/>
    <col min="2070" max="2304" width="9" style="1"/>
    <col min="2305" max="2305" width="8.08984375" style="1" customWidth="1"/>
    <col min="2306" max="2306" width="13.36328125" style="1" customWidth="1"/>
    <col min="2307" max="2307" width="10.81640625" style="1" customWidth="1"/>
    <col min="2308" max="2308" width="11.36328125" style="1" customWidth="1"/>
    <col min="2309" max="2309" width="0" style="1" hidden="1" customWidth="1"/>
    <col min="2310" max="2325" width="2.90625" style="1" customWidth="1"/>
    <col min="2326" max="2560" width="9" style="1"/>
    <col min="2561" max="2561" width="8.08984375" style="1" customWidth="1"/>
    <col min="2562" max="2562" width="13.36328125" style="1" customWidth="1"/>
    <col min="2563" max="2563" width="10.81640625" style="1" customWidth="1"/>
    <col min="2564" max="2564" width="11.36328125" style="1" customWidth="1"/>
    <col min="2565" max="2565" width="0" style="1" hidden="1" customWidth="1"/>
    <col min="2566" max="2581" width="2.90625" style="1" customWidth="1"/>
    <col min="2582" max="2816" width="9" style="1"/>
    <col min="2817" max="2817" width="8.08984375" style="1" customWidth="1"/>
    <col min="2818" max="2818" width="13.36328125" style="1" customWidth="1"/>
    <col min="2819" max="2819" width="10.81640625" style="1" customWidth="1"/>
    <col min="2820" max="2820" width="11.36328125" style="1" customWidth="1"/>
    <col min="2821" max="2821" width="0" style="1" hidden="1" customWidth="1"/>
    <col min="2822" max="2837" width="2.90625" style="1" customWidth="1"/>
    <col min="2838" max="3072" width="9" style="1"/>
    <col min="3073" max="3073" width="8.08984375" style="1" customWidth="1"/>
    <col min="3074" max="3074" width="13.36328125" style="1" customWidth="1"/>
    <col min="3075" max="3075" width="10.81640625" style="1" customWidth="1"/>
    <col min="3076" max="3076" width="11.36328125" style="1" customWidth="1"/>
    <col min="3077" max="3077" width="0" style="1" hidden="1" customWidth="1"/>
    <col min="3078" max="3093" width="2.90625" style="1" customWidth="1"/>
    <col min="3094" max="3328" width="9" style="1"/>
    <col min="3329" max="3329" width="8.08984375" style="1" customWidth="1"/>
    <col min="3330" max="3330" width="13.36328125" style="1" customWidth="1"/>
    <col min="3331" max="3331" width="10.81640625" style="1" customWidth="1"/>
    <col min="3332" max="3332" width="11.36328125" style="1" customWidth="1"/>
    <col min="3333" max="3333" width="0" style="1" hidden="1" customWidth="1"/>
    <col min="3334" max="3349" width="2.90625" style="1" customWidth="1"/>
    <col min="3350" max="3584" width="9" style="1"/>
    <col min="3585" max="3585" width="8.08984375" style="1" customWidth="1"/>
    <col min="3586" max="3586" width="13.36328125" style="1" customWidth="1"/>
    <col min="3587" max="3587" width="10.81640625" style="1" customWidth="1"/>
    <col min="3588" max="3588" width="11.36328125" style="1" customWidth="1"/>
    <col min="3589" max="3589" width="0" style="1" hidden="1" customWidth="1"/>
    <col min="3590" max="3605" width="2.90625" style="1" customWidth="1"/>
    <col min="3606" max="3840" width="9" style="1"/>
    <col min="3841" max="3841" width="8.08984375" style="1" customWidth="1"/>
    <col min="3842" max="3842" width="13.36328125" style="1" customWidth="1"/>
    <col min="3843" max="3843" width="10.81640625" style="1" customWidth="1"/>
    <col min="3844" max="3844" width="11.36328125" style="1" customWidth="1"/>
    <col min="3845" max="3845" width="0" style="1" hidden="1" customWidth="1"/>
    <col min="3846" max="3861" width="2.90625" style="1" customWidth="1"/>
    <col min="3862" max="4096" width="9" style="1"/>
    <col min="4097" max="4097" width="8.08984375" style="1" customWidth="1"/>
    <col min="4098" max="4098" width="13.36328125" style="1" customWidth="1"/>
    <col min="4099" max="4099" width="10.81640625" style="1" customWidth="1"/>
    <col min="4100" max="4100" width="11.36328125" style="1" customWidth="1"/>
    <col min="4101" max="4101" width="0" style="1" hidden="1" customWidth="1"/>
    <col min="4102" max="4117" width="2.90625" style="1" customWidth="1"/>
    <col min="4118" max="4352" width="9" style="1"/>
    <col min="4353" max="4353" width="8.08984375" style="1" customWidth="1"/>
    <col min="4354" max="4354" width="13.36328125" style="1" customWidth="1"/>
    <col min="4355" max="4355" width="10.81640625" style="1" customWidth="1"/>
    <col min="4356" max="4356" width="11.36328125" style="1" customWidth="1"/>
    <col min="4357" max="4357" width="0" style="1" hidden="1" customWidth="1"/>
    <col min="4358" max="4373" width="2.90625" style="1" customWidth="1"/>
    <col min="4374" max="4608" width="9" style="1"/>
    <col min="4609" max="4609" width="8.08984375" style="1" customWidth="1"/>
    <col min="4610" max="4610" width="13.36328125" style="1" customWidth="1"/>
    <col min="4611" max="4611" width="10.81640625" style="1" customWidth="1"/>
    <col min="4612" max="4612" width="11.36328125" style="1" customWidth="1"/>
    <col min="4613" max="4613" width="0" style="1" hidden="1" customWidth="1"/>
    <col min="4614" max="4629" width="2.90625" style="1" customWidth="1"/>
    <col min="4630" max="4864" width="9" style="1"/>
    <col min="4865" max="4865" width="8.08984375" style="1" customWidth="1"/>
    <col min="4866" max="4866" width="13.36328125" style="1" customWidth="1"/>
    <col min="4867" max="4867" width="10.81640625" style="1" customWidth="1"/>
    <col min="4868" max="4868" width="11.36328125" style="1" customWidth="1"/>
    <col min="4869" max="4869" width="0" style="1" hidden="1" customWidth="1"/>
    <col min="4870" max="4885" width="2.90625" style="1" customWidth="1"/>
    <col min="4886" max="5120" width="9" style="1"/>
    <col min="5121" max="5121" width="8.08984375" style="1" customWidth="1"/>
    <col min="5122" max="5122" width="13.36328125" style="1" customWidth="1"/>
    <col min="5123" max="5123" width="10.81640625" style="1" customWidth="1"/>
    <col min="5124" max="5124" width="11.36328125" style="1" customWidth="1"/>
    <col min="5125" max="5125" width="0" style="1" hidden="1" customWidth="1"/>
    <col min="5126" max="5141" width="2.90625" style="1" customWidth="1"/>
    <col min="5142" max="5376" width="9" style="1"/>
    <col min="5377" max="5377" width="8.08984375" style="1" customWidth="1"/>
    <col min="5378" max="5378" width="13.36328125" style="1" customWidth="1"/>
    <col min="5379" max="5379" width="10.81640625" style="1" customWidth="1"/>
    <col min="5380" max="5380" width="11.36328125" style="1" customWidth="1"/>
    <col min="5381" max="5381" width="0" style="1" hidden="1" customWidth="1"/>
    <col min="5382" max="5397" width="2.90625" style="1" customWidth="1"/>
    <col min="5398" max="5632" width="9" style="1"/>
    <col min="5633" max="5633" width="8.08984375" style="1" customWidth="1"/>
    <col min="5634" max="5634" width="13.36328125" style="1" customWidth="1"/>
    <col min="5635" max="5635" width="10.81640625" style="1" customWidth="1"/>
    <col min="5636" max="5636" width="11.36328125" style="1" customWidth="1"/>
    <col min="5637" max="5637" width="0" style="1" hidden="1" customWidth="1"/>
    <col min="5638" max="5653" width="2.90625" style="1" customWidth="1"/>
    <col min="5654" max="5888" width="9" style="1"/>
    <col min="5889" max="5889" width="8.08984375" style="1" customWidth="1"/>
    <col min="5890" max="5890" width="13.36328125" style="1" customWidth="1"/>
    <col min="5891" max="5891" width="10.81640625" style="1" customWidth="1"/>
    <col min="5892" max="5892" width="11.36328125" style="1" customWidth="1"/>
    <col min="5893" max="5893" width="0" style="1" hidden="1" customWidth="1"/>
    <col min="5894" max="5909" width="2.90625" style="1" customWidth="1"/>
    <col min="5910" max="6144" width="9" style="1"/>
    <col min="6145" max="6145" width="8.08984375" style="1" customWidth="1"/>
    <col min="6146" max="6146" width="13.36328125" style="1" customWidth="1"/>
    <col min="6147" max="6147" width="10.81640625" style="1" customWidth="1"/>
    <col min="6148" max="6148" width="11.36328125" style="1" customWidth="1"/>
    <col min="6149" max="6149" width="0" style="1" hidden="1" customWidth="1"/>
    <col min="6150" max="6165" width="2.90625" style="1" customWidth="1"/>
    <col min="6166" max="6400" width="9" style="1"/>
    <col min="6401" max="6401" width="8.08984375" style="1" customWidth="1"/>
    <col min="6402" max="6402" width="13.36328125" style="1" customWidth="1"/>
    <col min="6403" max="6403" width="10.81640625" style="1" customWidth="1"/>
    <col min="6404" max="6404" width="11.36328125" style="1" customWidth="1"/>
    <col min="6405" max="6405" width="0" style="1" hidden="1" customWidth="1"/>
    <col min="6406" max="6421" width="2.90625" style="1" customWidth="1"/>
    <col min="6422" max="6656" width="9" style="1"/>
    <col min="6657" max="6657" width="8.08984375" style="1" customWidth="1"/>
    <col min="6658" max="6658" width="13.36328125" style="1" customWidth="1"/>
    <col min="6659" max="6659" width="10.81640625" style="1" customWidth="1"/>
    <col min="6660" max="6660" width="11.36328125" style="1" customWidth="1"/>
    <col min="6661" max="6661" width="0" style="1" hidden="1" customWidth="1"/>
    <col min="6662" max="6677" width="2.90625" style="1" customWidth="1"/>
    <col min="6678" max="6912" width="9" style="1"/>
    <col min="6913" max="6913" width="8.08984375" style="1" customWidth="1"/>
    <col min="6914" max="6914" width="13.36328125" style="1" customWidth="1"/>
    <col min="6915" max="6915" width="10.81640625" style="1" customWidth="1"/>
    <col min="6916" max="6916" width="11.36328125" style="1" customWidth="1"/>
    <col min="6917" max="6917" width="0" style="1" hidden="1" customWidth="1"/>
    <col min="6918" max="6933" width="2.90625" style="1" customWidth="1"/>
    <col min="6934" max="7168" width="9" style="1"/>
    <col min="7169" max="7169" width="8.08984375" style="1" customWidth="1"/>
    <col min="7170" max="7170" width="13.36328125" style="1" customWidth="1"/>
    <col min="7171" max="7171" width="10.81640625" style="1" customWidth="1"/>
    <col min="7172" max="7172" width="11.36328125" style="1" customWidth="1"/>
    <col min="7173" max="7173" width="0" style="1" hidden="1" customWidth="1"/>
    <col min="7174" max="7189" width="2.90625" style="1" customWidth="1"/>
    <col min="7190" max="7424" width="9" style="1"/>
    <col min="7425" max="7425" width="8.08984375" style="1" customWidth="1"/>
    <col min="7426" max="7426" width="13.36328125" style="1" customWidth="1"/>
    <col min="7427" max="7427" width="10.81640625" style="1" customWidth="1"/>
    <col min="7428" max="7428" width="11.36328125" style="1" customWidth="1"/>
    <col min="7429" max="7429" width="0" style="1" hidden="1" customWidth="1"/>
    <col min="7430" max="7445" width="2.90625" style="1" customWidth="1"/>
    <col min="7446" max="7680" width="9" style="1"/>
    <col min="7681" max="7681" width="8.08984375" style="1" customWidth="1"/>
    <col min="7682" max="7682" width="13.36328125" style="1" customWidth="1"/>
    <col min="7683" max="7683" width="10.81640625" style="1" customWidth="1"/>
    <col min="7684" max="7684" width="11.36328125" style="1" customWidth="1"/>
    <col min="7685" max="7685" width="0" style="1" hidden="1" customWidth="1"/>
    <col min="7686" max="7701" width="2.90625" style="1" customWidth="1"/>
    <col min="7702" max="7936" width="9" style="1"/>
    <col min="7937" max="7937" width="8.08984375" style="1" customWidth="1"/>
    <col min="7938" max="7938" width="13.36328125" style="1" customWidth="1"/>
    <col min="7939" max="7939" width="10.81640625" style="1" customWidth="1"/>
    <col min="7940" max="7940" width="11.36328125" style="1" customWidth="1"/>
    <col min="7941" max="7941" width="0" style="1" hidden="1" customWidth="1"/>
    <col min="7942" max="7957" width="2.90625" style="1" customWidth="1"/>
    <col min="7958" max="8192" width="9" style="1"/>
    <col min="8193" max="8193" width="8.08984375" style="1" customWidth="1"/>
    <col min="8194" max="8194" width="13.36328125" style="1" customWidth="1"/>
    <col min="8195" max="8195" width="10.81640625" style="1" customWidth="1"/>
    <col min="8196" max="8196" width="11.36328125" style="1" customWidth="1"/>
    <col min="8197" max="8197" width="0" style="1" hidden="1" customWidth="1"/>
    <col min="8198" max="8213" width="2.90625" style="1" customWidth="1"/>
    <col min="8214" max="8448" width="9" style="1"/>
    <col min="8449" max="8449" width="8.08984375" style="1" customWidth="1"/>
    <col min="8450" max="8450" width="13.36328125" style="1" customWidth="1"/>
    <col min="8451" max="8451" width="10.81640625" style="1" customWidth="1"/>
    <col min="8452" max="8452" width="11.36328125" style="1" customWidth="1"/>
    <col min="8453" max="8453" width="0" style="1" hidden="1" customWidth="1"/>
    <col min="8454" max="8469" width="2.90625" style="1" customWidth="1"/>
    <col min="8470" max="8704" width="9" style="1"/>
    <col min="8705" max="8705" width="8.08984375" style="1" customWidth="1"/>
    <col min="8706" max="8706" width="13.36328125" style="1" customWidth="1"/>
    <col min="8707" max="8707" width="10.81640625" style="1" customWidth="1"/>
    <col min="8708" max="8708" width="11.36328125" style="1" customWidth="1"/>
    <col min="8709" max="8709" width="0" style="1" hidden="1" customWidth="1"/>
    <col min="8710" max="8725" width="2.90625" style="1" customWidth="1"/>
    <col min="8726" max="8960" width="9" style="1"/>
    <col min="8961" max="8961" width="8.08984375" style="1" customWidth="1"/>
    <col min="8962" max="8962" width="13.36328125" style="1" customWidth="1"/>
    <col min="8963" max="8963" width="10.81640625" style="1" customWidth="1"/>
    <col min="8964" max="8964" width="11.36328125" style="1" customWidth="1"/>
    <col min="8965" max="8965" width="0" style="1" hidden="1" customWidth="1"/>
    <col min="8966" max="8981" width="2.90625" style="1" customWidth="1"/>
    <col min="8982" max="9216" width="9" style="1"/>
    <col min="9217" max="9217" width="8.08984375" style="1" customWidth="1"/>
    <col min="9218" max="9218" width="13.36328125" style="1" customWidth="1"/>
    <col min="9219" max="9219" width="10.81640625" style="1" customWidth="1"/>
    <col min="9220" max="9220" width="11.36328125" style="1" customWidth="1"/>
    <col min="9221" max="9221" width="0" style="1" hidden="1" customWidth="1"/>
    <col min="9222" max="9237" width="2.90625" style="1" customWidth="1"/>
    <col min="9238" max="9472" width="9" style="1"/>
    <col min="9473" max="9473" width="8.08984375" style="1" customWidth="1"/>
    <col min="9474" max="9474" width="13.36328125" style="1" customWidth="1"/>
    <col min="9475" max="9475" width="10.81640625" style="1" customWidth="1"/>
    <col min="9476" max="9476" width="11.36328125" style="1" customWidth="1"/>
    <col min="9477" max="9477" width="0" style="1" hidden="1" customWidth="1"/>
    <col min="9478" max="9493" width="2.90625" style="1" customWidth="1"/>
    <col min="9494" max="9728" width="9" style="1"/>
    <col min="9729" max="9729" width="8.08984375" style="1" customWidth="1"/>
    <col min="9730" max="9730" width="13.36328125" style="1" customWidth="1"/>
    <col min="9731" max="9731" width="10.81640625" style="1" customWidth="1"/>
    <col min="9732" max="9732" width="11.36328125" style="1" customWidth="1"/>
    <col min="9733" max="9733" width="0" style="1" hidden="1" customWidth="1"/>
    <col min="9734" max="9749" width="2.90625" style="1" customWidth="1"/>
    <col min="9750" max="9984" width="9" style="1"/>
    <col min="9985" max="9985" width="8.08984375" style="1" customWidth="1"/>
    <col min="9986" max="9986" width="13.36328125" style="1" customWidth="1"/>
    <col min="9987" max="9987" width="10.81640625" style="1" customWidth="1"/>
    <col min="9988" max="9988" width="11.36328125" style="1" customWidth="1"/>
    <col min="9989" max="9989" width="0" style="1" hidden="1" customWidth="1"/>
    <col min="9990" max="10005" width="2.90625" style="1" customWidth="1"/>
    <col min="10006" max="10240" width="9" style="1"/>
    <col min="10241" max="10241" width="8.08984375" style="1" customWidth="1"/>
    <col min="10242" max="10242" width="13.36328125" style="1" customWidth="1"/>
    <col min="10243" max="10243" width="10.81640625" style="1" customWidth="1"/>
    <col min="10244" max="10244" width="11.36328125" style="1" customWidth="1"/>
    <col min="10245" max="10245" width="0" style="1" hidden="1" customWidth="1"/>
    <col min="10246" max="10261" width="2.90625" style="1" customWidth="1"/>
    <col min="10262" max="10496" width="9" style="1"/>
    <col min="10497" max="10497" width="8.08984375" style="1" customWidth="1"/>
    <col min="10498" max="10498" width="13.36328125" style="1" customWidth="1"/>
    <col min="10499" max="10499" width="10.81640625" style="1" customWidth="1"/>
    <col min="10500" max="10500" width="11.36328125" style="1" customWidth="1"/>
    <col min="10501" max="10501" width="0" style="1" hidden="1" customWidth="1"/>
    <col min="10502" max="10517" width="2.90625" style="1" customWidth="1"/>
    <col min="10518" max="10752" width="9" style="1"/>
    <col min="10753" max="10753" width="8.08984375" style="1" customWidth="1"/>
    <col min="10754" max="10754" width="13.36328125" style="1" customWidth="1"/>
    <col min="10755" max="10755" width="10.81640625" style="1" customWidth="1"/>
    <col min="10756" max="10756" width="11.36328125" style="1" customWidth="1"/>
    <col min="10757" max="10757" width="0" style="1" hidden="1" customWidth="1"/>
    <col min="10758" max="10773" width="2.90625" style="1" customWidth="1"/>
    <col min="10774" max="11008" width="9" style="1"/>
    <col min="11009" max="11009" width="8.08984375" style="1" customWidth="1"/>
    <col min="11010" max="11010" width="13.36328125" style="1" customWidth="1"/>
    <col min="11011" max="11011" width="10.81640625" style="1" customWidth="1"/>
    <col min="11012" max="11012" width="11.36328125" style="1" customWidth="1"/>
    <col min="11013" max="11013" width="0" style="1" hidden="1" customWidth="1"/>
    <col min="11014" max="11029" width="2.90625" style="1" customWidth="1"/>
    <col min="11030" max="11264" width="9" style="1"/>
    <col min="11265" max="11265" width="8.08984375" style="1" customWidth="1"/>
    <col min="11266" max="11266" width="13.36328125" style="1" customWidth="1"/>
    <col min="11267" max="11267" width="10.81640625" style="1" customWidth="1"/>
    <col min="11268" max="11268" width="11.36328125" style="1" customWidth="1"/>
    <col min="11269" max="11269" width="0" style="1" hidden="1" customWidth="1"/>
    <col min="11270" max="11285" width="2.90625" style="1" customWidth="1"/>
    <col min="11286" max="11520" width="9" style="1"/>
    <col min="11521" max="11521" width="8.08984375" style="1" customWidth="1"/>
    <col min="11522" max="11522" width="13.36328125" style="1" customWidth="1"/>
    <col min="11523" max="11523" width="10.81640625" style="1" customWidth="1"/>
    <col min="11524" max="11524" width="11.36328125" style="1" customWidth="1"/>
    <col min="11525" max="11525" width="0" style="1" hidden="1" customWidth="1"/>
    <col min="11526" max="11541" width="2.90625" style="1" customWidth="1"/>
    <col min="11542" max="11776" width="9" style="1"/>
    <col min="11777" max="11777" width="8.08984375" style="1" customWidth="1"/>
    <col min="11778" max="11778" width="13.36328125" style="1" customWidth="1"/>
    <col min="11779" max="11779" width="10.81640625" style="1" customWidth="1"/>
    <col min="11780" max="11780" width="11.36328125" style="1" customWidth="1"/>
    <col min="11781" max="11781" width="0" style="1" hidden="1" customWidth="1"/>
    <col min="11782" max="11797" width="2.90625" style="1" customWidth="1"/>
    <col min="11798" max="12032" width="9" style="1"/>
    <col min="12033" max="12033" width="8.08984375" style="1" customWidth="1"/>
    <col min="12034" max="12034" width="13.36328125" style="1" customWidth="1"/>
    <col min="12035" max="12035" width="10.81640625" style="1" customWidth="1"/>
    <col min="12036" max="12036" width="11.36328125" style="1" customWidth="1"/>
    <col min="12037" max="12037" width="0" style="1" hidden="1" customWidth="1"/>
    <col min="12038" max="12053" width="2.90625" style="1" customWidth="1"/>
    <col min="12054" max="12288" width="9" style="1"/>
    <col min="12289" max="12289" width="8.08984375" style="1" customWidth="1"/>
    <col min="12290" max="12290" width="13.36328125" style="1" customWidth="1"/>
    <col min="12291" max="12291" width="10.81640625" style="1" customWidth="1"/>
    <col min="12292" max="12292" width="11.36328125" style="1" customWidth="1"/>
    <col min="12293" max="12293" width="0" style="1" hidden="1" customWidth="1"/>
    <col min="12294" max="12309" width="2.90625" style="1" customWidth="1"/>
    <col min="12310" max="12544" width="9" style="1"/>
    <col min="12545" max="12545" width="8.08984375" style="1" customWidth="1"/>
    <col min="12546" max="12546" width="13.36328125" style="1" customWidth="1"/>
    <col min="12547" max="12547" width="10.81640625" style="1" customWidth="1"/>
    <col min="12548" max="12548" width="11.36328125" style="1" customWidth="1"/>
    <col min="12549" max="12549" width="0" style="1" hidden="1" customWidth="1"/>
    <col min="12550" max="12565" width="2.90625" style="1" customWidth="1"/>
    <col min="12566" max="12800" width="9" style="1"/>
    <col min="12801" max="12801" width="8.08984375" style="1" customWidth="1"/>
    <col min="12802" max="12802" width="13.36328125" style="1" customWidth="1"/>
    <col min="12803" max="12803" width="10.81640625" style="1" customWidth="1"/>
    <col min="12804" max="12804" width="11.36328125" style="1" customWidth="1"/>
    <col min="12805" max="12805" width="0" style="1" hidden="1" customWidth="1"/>
    <col min="12806" max="12821" width="2.90625" style="1" customWidth="1"/>
    <col min="12822" max="13056" width="9" style="1"/>
    <col min="13057" max="13057" width="8.08984375" style="1" customWidth="1"/>
    <col min="13058" max="13058" width="13.36328125" style="1" customWidth="1"/>
    <col min="13059" max="13059" width="10.81640625" style="1" customWidth="1"/>
    <col min="13060" max="13060" width="11.36328125" style="1" customWidth="1"/>
    <col min="13061" max="13061" width="0" style="1" hidden="1" customWidth="1"/>
    <col min="13062" max="13077" width="2.90625" style="1" customWidth="1"/>
    <col min="13078" max="13312" width="9" style="1"/>
    <col min="13313" max="13313" width="8.08984375" style="1" customWidth="1"/>
    <col min="13314" max="13314" width="13.36328125" style="1" customWidth="1"/>
    <col min="13315" max="13315" width="10.81640625" style="1" customWidth="1"/>
    <col min="13316" max="13316" width="11.36328125" style="1" customWidth="1"/>
    <col min="13317" max="13317" width="0" style="1" hidden="1" customWidth="1"/>
    <col min="13318" max="13333" width="2.90625" style="1" customWidth="1"/>
    <col min="13334" max="13568" width="9" style="1"/>
    <col min="13569" max="13569" width="8.08984375" style="1" customWidth="1"/>
    <col min="13570" max="13570" width="13.36328125" style="1" customWidth="1"/>
    <col min="13571" max="13571" width="10.81640625" style="1" customWidth="1"/>
    <col min="13572" max="13572" width="11.36328125" style="1" customWidth="1"/>
    <col min="13573" max="13573" width="0" style="1" hidden="1" customWidth="1"/>
    <col min="13574" max="13589" width="2.90625" style="1" customWidth="1"/>
    <col min="13590" max="13824" width="9" style="1"/>
    <col min="13825" max="13825" width="8.08984375" style="1" customWidth="1"/>
    <col min="13826" max="13826" width="13.36328125" style="1" customWidth="1"/>
    <col min="13827" max="13827" width="10.81640625" style="1" customWidth="1"/>
    <col min="13828" max="13828" width="11.36328125" style="1" customWidth="1"/>
    <col min="13829" max="13829" width="0" style="1" hidden="1" customWidth="1"/>
    <col min="13830" max="13845" width="2.90625" style="1" customWidth="1"/>
    <col min="13846" max="14080" width="9" style="1"/>
    <col min="14081" max="14081" width="8.08984375" style="1" customWidth="1"/>
    <col min="14082" max="14082" width="13.36328125" style="1" customWidth="1"/>
    <col min="14083" max="14083" width="10.81640625" style="1" customWidth="1"/>
    <col min="14084" max="14084" width="11.36328125" style="1" customWidth="1"/>
    <col min="14085" max="14085" width="0" style="1" hidden="1" customWidth="1"/>
    <col min="14086" max="14101" width="2.90625" style="1" customWidth="1"/>
    <col min="14102" max="14336" width="9" style="1"/>
    <col min="14337" max="14337" width="8.08984375" style="1" customWidth="1"/>
    <col min="14338" max="14338" width="13.36328125" style="1" customWidth="1"/>
    <col min="14339" max="14339" width="10.81640625" style="1" customWidth="1"/>
    <col min="14340" max="14340" width="11.36328125" style="1" customWidth="1"/>
    <col min="14341" max="14341" width="0" style="1" hidden="1" customWidth="1"/>
    <col min="14342" max="14357" width="2.90625" style="1" customWidth="1"/>
    <col min="14358" max="14592" width="9" style="1"/>
    <col min="14593" max="14593" width="8.08984375" style="1" customWidth="1"/>
    <col min="14594" max="14594" width="13.36328125" style="1" customWidth="1"/>
    <col min="14595" max="14595" width="10.81640625" style="1" customWidth="1"/>
    <col min="14596" max="14596" width="11.36328125" style="1" customWidth="1"/>
    <col min="14597" max="14597" width="0" style="1" hidden="1" customWidth="1"/>
    <col min="14598" max="14613" width="2.90625" style="1" customWidth="1"/>
    <col min="14614" max="14848" width="9" style="1"/>
    <col min="14849" max="14849" width="8.08984375" style="1" customWidth="1"/>
    <col min="14850" max="14850" width="13.36328125" style="1" customWidth="1"/>
    <col min="14851" max="14851" width="10.81640625" style="1" customWidth="1"/>
    <col min="14852" max="14852" width="11.36328125" style="1" customWidth="1"/>
    <col min="14853" max="14853" width="0" style="1" hidden="1" customWidth="1"/>
    <col min="14854" max="14869" width="2.90625" style="1" customWidth="1"/>
    <col min="14870" max="15104" width="9" style="1"/>
    <col min="15105" max="15105" width="8.08984375" style="1" customWidth="1"/>
    <col min="15106" max="15106" width="13.36328125" style="1" customWidth="1"/>
    <col min="15107" max="15107" width="10.81640625" style="1" customWidth="1"/>
    <col min="15108" max="15108" width="11.36328125" style="1" customWidth="1"/>
    <col min="15109" max="15109" width="0" style="1" hidden="1" customWidth="1"/>
    <col min="15110" max="15125" width="2.90625" style="1" customWidth="1"/>
    <col min="15126" max="15360" width="9" style="1"/>
    <col min="15361" max="15361" width="8.08984375" style="1" customWidth="1"/>
    <col min="15362" max="15362" width="13.36328125" style="1" customWidth="1"/>
    <col min="15363" max="15363" width="10.81640625" style="1" customWidth="1"/>
    <col min="15364" max="15364" width="11.36328125" style="1" customWidth="1"/>
    <col min="15365" max="15365" width="0" style="1" hidden="1" customWidth="1"/>
    <col min="15366" max="15381" width="2.90625" style="1" customWidth="1"/>
    <col min="15382" max="15616" width="9" style="1"/>
    <col min="15617" max="15617" width="8.08984375" style="1" customWidth="1"/>
    <col min="15618" max="15618" width="13.36328125" style="1" customWidth="1"/>
    <col min="15619" max="15619" width="10.81640625" style="1" customWidth="1"/>
    <col min="15620" max="15620" width="11.36328125" style="1" customWidth="1"/>
    <col min="15621" max="15621" width="0" style="1" hidden="1" customWidth="1"/>
    <col min="15622" max="15637" width="2.90625" style="1" customWidth="1"/>
    <col min="15638" max="15872" width="9" style="1"/>
    <col min="15873" max="15873" width="8.08984375" style="1" customWidth="1"/>
    <col min="15874" max="15874" width="13.36328125" style="1" customWidth="1"/>
    <col min="15875" max="15875" width="10.81640625" style="1" customWidth="1"/>
    <col min="15876" max="15876" width="11.36328125" style="1" customWidth="1"/>
    <col min="15877" max="15877" width="0" style="1" hidden="1" customWidth="1"/>
    <col min="15878" max="15893" width="2.90625" style="1" customWidth="1"/>
    <col min="15894" max="16128" width="9" style="1"/>
    <col min="16129" max="16129" width="8.08984375" style="1" customWidth="1"/>
    <col min="16130" max="16130" width="13.36328125" style="1" customWidth="1"/>
    <col min="16131" max="16131" width="10.81640625" style="1" customWidth="1"/>
    <col min="16132" max="16132" width="11.36328125" style="1" customWidth="1"/>
    <col min="16133" max="16133" width="0" style="1" hidden="1" customWidth="1"/>
    <col min="16134" max="16149" width="2.90625" style="1" customWidth="1"/>
    <col min="16150" max="16384" width="9" style="1"/>
  </cols>
  <sheetData>
    <row r="1" spans="1:22" ht="9" customHeight="1">
      <c r="A1" s="128" t="s">
        <v>8</v>
      </c>
      <c r="B1" s="129"/>
      <c r="C1" s="130" t="s">
        <v>9</v>
      </c>
      <c r="D1" s="131"/>
      <c r="E1" s="132"/>
      <c r="F1" s="133" t="s">
        <v>10</v>
      </c>
      <c r="G1" s="134"/>
      <c r="H1" s="134"/>
      <c r="I1" s="134"/>
      <c r="J1" s="134"/>
      <c r="K1" s="134"/>
      <c r="L1" s="135" t="s">
        <v>9</v>
      </c>
      <c r="M1" s="136"/>
      <c r="N1" s="136"/>
      <c r="O1" s="136"/>
      <c r="P1" s="136"/>
      <c r="Q1" s="136"/>
      <c r="R1" s="136"/>
      <c r="S1" s="136"/>
      <c r="T1" s="137"/>
    </row>
    <row r="2" spans="1:22" ht="9" customHeight="1">
      <c r="A2" s="145" t="s">
        <v>11</v>
      </c>
      <c r="B2" s="146"/>
      <c r="C2" s="147"/>
      <c r="D2" s="148"/>
      <c r="E2" s="3"/>
      <c r="F2" s="149" t="s">
        <v>12</v>
      </c>
      <c r="G2" s="150"/>
      <c r="H2" s="150"/>
      <c r="I2" s="150"/>
      <c r="J2" s="150"/>
      <c r="K2" s="151"/>
      <c r="L2" s="152">
        <v>-1</v>
      </c>
      <c r="M2" s="153"/>
      <c r="N2" s="153"/>
      <c r="O2" s="153"/>
      <c r="P2" s="153"/>
      <c r="Q2" s="153"/>
      <c r="R2" s="153"/>
      <c r="S2" s="153"/>
      <c r="T2" s="154"/>
    </row>
    <row r="3" spans="1:22" ht="9" customHeight="1">
      <c r="A3" s="145" t="s">
        <v>13</v>
      </c>
      <c r="B3" s="146"/>
      <c r="C3" s="155" t="s">
        <v>14</v>
      </c>
      <c r="D3" s="155"/>
      <c r="E3" s="155"/>
      <c r="F3" s="156"/>
      <c r="G3" s="156"/>
      <c r="H3" s="156"/>
      <c r="I3" s="156"/>
      <c r="J3" s="156"/>
      <c r="K3" s="156"/>
      <c r="L3" s="155"/>
      <c r="M3" s="155"/>
      <c r="N3" s="155"/>
      <c r="O3" s="155"/>
      <c r="P3" s="155"/>
      <c r="Q3" s="155"/>
      <c r="R3" s="155"/>
      <c r="S3" s="155"/>
      <c r="T3" s="155"/>
    </row>
    <row r="4" spans="1:22" ht="9" customHeight="1">
      <c r="A4" s="157" t="s">
        <v>15</v>
      </c>
      <c r="B4" s="158"/>
      <c r="C4" s="107" t="s">
        <v>16</v>
      </c>
      <c r="D4" s="108"/>
      <c r="E4" s="159"/>
      <c r="F4" s="107" t="s">
        <v>17</v>
      </c>
      <c r="G4" s="108"/>
      <c r="H4" s="108"/>
      <c r="I4" s="108"/>
      <c r="J4" s="108"/>
      <c r="K4" s="109"/>
      <c r="L4" s="108" t="s">
        <v>18</v>
      </c>
      <c r="M4" s="108"/>
      <c r="N4" s="108"/>
      <c r="O4" s="110" t="s">
        <v>19</v>
      </c>
      <c r="P4" s="108"/>
      <c r="Q4" s="108"/>
      <c r="R4" s="108"/>
      <c r="S4" s="108"/>
      <c r="T4" s="111"/>
    </row>
    <row r="5" spans="1:22" ht="9" customHeight="1">
      <c r="A5" s="138">
        <f>COUNTIF(F39:HQ39,"P")</f>
        <v>0</v>
      </c>
      <c r="B5" s="139"/>
      <c r="C5" s="140">
        <f>COUNTIF(F39:HQ39,"F")</f>
        <v>0</v>
      </c>
      <c r="D5" s="141"/>
      <c r="E5" s="139"/>
      <c r="F5" s="140">
        <f>SUM(O5,- A5,- C5)</f>
        <v>3</v>
      </c>
      <c r="G5" s="141"/>
      <c r="H5" s="141"/>
      <c r="I5" s="141"/>
      <c r="J5" s="141"/>
      <c r="K5" s="142"/>
      <c r="L5" s="23">
        <f>COUNTIF(E38:HQ38,"N")</f>
        <v>0</v>
      </c>
      <c r="M5" s="23">
        <f>COUNTIF(E38:HQ38,"A")</f>
        <v>0</v>
      </c>
      <c r="N5" s="23">
        <f>COUNTIF(E38:HQ38,"B")</f>
        <v>0</v>
      </c>
      <c r="O5" s="143">
        <f>COUNTA(E7:HT7)</f>
        <v>3</v>
      </c>
      <c r="P5" s="141"/>
      <c r="Q5" s="141"/>
      <c r="R5" s="141"/>
      <c r="S5" s="141"/>
      <c r="T5" s="144"/>
      <c r="U5" s="4"/>
    </row>
    <row r="7" spans="1:22" ht="31" customHeight="1">
      <c r="A7" s="120"/>
      <c r="B7" s="121"/>
      <c r="C7" s="121"/>
      <c r="D7" s="121"/>
      <c r="E7" s="34"/>
      <c r="F7" s="44" t="s">
        <v>20</v>
      </c>
      <c r="G7" s="44" t="s">
        <v>21</v>
      </c>
      <c r="H7" s="44" t="s">
        <v>22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  <c r="U7" s="26"/>
      <c r="V7" s="70"/>
    </row>
    <row r="8" spans="1:22" ht="9" customHeight="1">
      <c r="A8" s="38" t="s">
        <v>23</v>
      </c>
      <c r="B8" s="35" t="s">
        <v>24</v>
      </c>
      <c r="C8" s="47"/>
      <c r="D8" s="48"/>
      <c r="E8" s="7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27"/>
    </row>
    <row r="9" spans="1:22" ht="9" customHeight="1">
      <c r="A9" s="39"/>
      <c r="B9" s="36"/>
      <c r="C9" s="7"/>
      <c r="D9" s="21" t="s">
        <v>25</v>
      </c>
      <c r="E9" s="80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28"/>
      <c r="V9" s="70"/>
    </row>
    <row r="10" spans="1:22" ht="9" customHeight="1">
      <c r="A10" s="39"/>
      <c r="B10" s="36"/>
      <c r="C10" s="7"/>
      <c r="D10" s="21"/>
      <c r="E10" s="80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28"/>
    </row>
    <row r="11" spans="1:22" ht="9" customHeight="1">
      <c r="A11" s="39"/>
      <c r="B11" s="36" t="s">
        <v>26</v>
      </c>
      <c r="C11" s="7"/>
      <c r="D11" s="21"/>
      <c r="E11" s="4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28"/>
    </row>
    <row r="12" spans="1:22" ht="10.4" customHeight="1">
      <c r="A12" s="39"/>
      <c r="B12" s="37" t="s">
        <v>27</v>
      </c>
      <c r="C12" s="7"/>
      <c r="D12" s="21"/>
      <c r="E12" s="8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28"/>
    </row>
    <row r="13" spans="1:22" ht="9" customHeight="1">
      <c r="A13" s="39"/>
      <c r="B13" s="36"/>
      <c r="C13" s="7"/>
      <c r="D13" s="21" t="s">
        <v>28</v>
      </c>
      <c r="E13" s="81"/>
      <c r="F13" s="9" t="s">
        <v>29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28"/>
    </row>
    <row r="14" spans="1:22" ht="9" customHeight="1">
      <c r="A14" s="39"/>
      <c r="B14" s="36"/>
      <c r="C14" s="7"/>
      <c r="D14" s="21">
        <v>10</v>
      </c>
      <c r="E14" s="81"/>
      <c r="F14" s="9"/>
      <c r="G14" s="9" t="s">
        <v>29</v>
      </c>
      <c r="H14" s="9"/>
      <c r="I14" s="9"/>
      <c r="J14" s="73"/>
      <c r="K14" s="9"/>
      <c r="L14" s="9"/>
      <c r="M14" s="9"/>
      <c r="N14" s="9"/>
      <c r="O14" s="9"/>
      <c r="P14" s="9"/>
      <c r="Q14" s="9"/>
      <c r="R14" s="9"/>
      <c r="S14" s="9"/>
      <c r="T14" s="28"/>
    </row>
    <row r="15" spans="1:22" ht="9" customHeight="1">
      <c r="A15" s="39"/>
      <c r="B15" s="36"/>
      <c r="C15" s="7"/>
      <c r="D15" s="21">
        <v>40</v>
      </c>
      <c r="E15" s="81"/>
      <c r="F15" s="9"/>
      <c r="G15" s="9"/>
      <c r="H15" s="9" t="s">
        <v>29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28"/>
    </row>
    <row r="16" spans="1:22" ht="9" customHeight="1">
      <c r="A16" s="39"/>
      <c r="B16" s="37"/>
      <c r="C16" s="7"/>
      <c r="D16" s="21">
        <v>35</v>
      </c>
      <c r="E16" s="81"/>
      <c r="F16" s="9"/>
      <c r="G16" s="9"/>
      <c r="H16" s="9"/>
      <c r="I16" s="9" t="s">
        <v>29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28"/>
      <c r="U16" s="10"/>
    </row>
    <row r="17" spans="1:20" ht="9" customHeight="1">
      <c r="A17" s="39"/>
      <c r="B17" s="37" t="s">
        <v>30</v>
      </c>
      <c r="C17" s="7"/>
      <c r="D17" s="118"/>
      <c r="E17" s="1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28"/>
    </row>
    <row r="18" spans="1:20" ht="9" customHeight="1">
      <c r="A18" s="39"/>
      <c r="B18" s="36"/>
      <c r="C18" s="7"/>
      <c r="D18" s="114" t="b">
        <v>1</v>
      </c>
      <c r="E18" s="115"/>
      <c r="F18" s="9" t="s">
        <v>29</v>
      </c>
      <c r="G18" s="9" t="s">
        <v>29</v>
      </c>
      <c r="H18" s="9" t="s">
        <v>29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28"/>
    </row>
    <row r="19" spans="1:20" ht="9" customHeight="1">
      <c r="A19" s="39"/>
      <c r="B19" s="36"/>
      <c r="C19" s="7"/>
      <c r="D19" s="116" t="b">
        <v>0</v>
      </c>
      <c r="E19" s="117"/>
      <c r="F19" s="9"/>
      <c r="G19" s="9"/>
      <c r="H19" s="9"/>
      <c r="I19" s="9" t="s">
        <v>29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28"/>
    </row>
    <row r="20" spans="1:20" ht="9" customHeight="1">
      <c r="A20" s="39"/>
      <c r="B20" s="37"/>
      <c r="C20" s="7"/>
      <c r="D20" s="21"/>
      <c r="E20" s="8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28"/>
    </row>
    <row r="21" spans="1:20" ht="9" customHeight="1">
      <c r="A21" s="39"/>
      <c r="B21" s="36"/>
      <c r="C21" s="7"/>
      <c r="D21" s="118"/>
      <c r="E21" s="11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28"/>
    </row>
    <row r="22" spans="1:20" ht="9" customHeight="1">
      <c r="A22" s="39"/>
      <c r="B22" s="36"/>
      <c r="C22" s="7"/>
      <c r="D22" s="118"/>
      <c r="E22" s="11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28"/>
    </row>
    <row r="23" spans="1:20" ht="9" customHeight="1">
      <c r="A23" s="39"/>
      <c r="B23" s="37" t="s">
        <v>31</v>
      </c>
      <c r="C23" s="7"/>
      <c r="D23" s="50"/>
      <c r="E23" s="81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28"/>
    </row>
    <row r="24" spans="1:20" ht="9" customHeight="1">
      <c r="A24" s="39"/>
      <c r="B24" s="36"/>
      <c r="C24" s="7"/>
      <c r="D24" s="8" t="b">
        <v>1</v>
      </c>
      <c r="E24" s="82"/>
      <c r="F24" s="9" t="s">
        <v>29</v>
      </c>
      <c r="G24" s="9" t="s">
        <v>29</v>
      </c>
      <c r="H24" s="9" t="s">
        <v>29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28"/>
    </row>
    <row r="25" spans="1:20" ht="9" customHeight="1">
      <c r="A25" s="39"/>
      <c r="B25" s="36"/>
      <c r="C25" s="7"/>
      <c r="D25" s="8" t="b">
        <v>0</v>
      </c>
      <c r="E25" s="82"/>
      <c r="F25" s="9"/>
      <c r="G25" s="9"/>
      <c r="H25" s="9"/>
      <c r="I25" s="9" t="s">
        <v>29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28"/>
    </row>
    <row r="26" spans="1:20" ht="9" customHeight="1">
      <c r="A26" s="39"/>
      <c r="B26" s="36"/>
      <c r="C26" s="7"/>
      <c r="D26" s="8"/>
      <c r="E26" s="82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28"/>
    </row>
    <row r="27" spans="1:20" ht="9" customHeight="1">
      <c r="A27" s="39"/>
      <c r="B27" s="51"/>
      <c r="C27" s="7"/>
      <c r="D27" s="8"/>
      <c r="E27" s="82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28"/>
    </row>
    <row r="28" spans="1:20" ht="9" customHeight="1">
      <c r="A28" s="42"/>
      <c r="B28" s="52"/>
      <c r="C28" s="53"/>
      <c r="D28" s="54"/>
      <c r="E28" s="8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29"/>
    </row>
    <row r="29" spans="1:20" ht="9" customHeight="1">
      <c r="A29" s="43" t="s">
        <v>32</v>
      </c>
      <c r="B29" s="58" t="s">
        <v>33</v>
      </c>
      <c r="C29" s="59"/>
      <c r="D29" s="60"/>
      <c r="E29" s="83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</row>
    <row r="30" spans="1:20" ht="9" customHeight="1">
      <c r="A30" s="40"/>
      <c r="B30" s="63"/>
      <c r="C30" s="11"/>
      <c r="D30" s="22" t="s">
        <v>34</v>
      </c>
      <c r="E30" s="84"/>
      <c r="F30" s="9" t="s">
        <v>29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28"/>
    </row>
    <row r="31" spans="1:20" ht="9" customHeight="1">
      <c r="A31" s="40"/>
      <c r="B31" s="63"/>
      <c r="C31" s="13"/>
      <c r="D31" s="22" t="s">
        <v>35</v>
      </c>
      <c r="E31" s="85"/>
      <c r="F31" s="9"/>
      <c r="G31" s="9" t="s">
        <v>29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28"/>
    </row>
    <row r="32" spans="1:20" ht="9" customHeight="1">
      <c r="A32" s="40"/>
      <c r="B32" s="63"/>
      <c r="C32" s="13"/>
      <c r="D32" s="22" t="s">
        <v>36</v>
      </c>
      <c r="E32" s="85"/>
      <c r="F32" s="9"/>
      <c r="G32" s="9"/>
      <c r="H32" s="26" t="s">
        <v>29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28"/>
    </row>
    <row r="33" spans="1:20" ht="9" customHeight="1">
      <c r="A33" s="40"/>
      <c r="B33" s="63"/>
      <c r="C33" s="13"/>
      <c r="D33" s="22" t="s">
        <v>37</v>
      </c>
      <c r="E33" s="85"/>
      <c r="F33" s="9"/>
      <c r="G33" s="9"/>
      <c r="H33" s="9"/>
      <c r="I33" s="9" t="s">
        <v>29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28"/>
    </row>
    <row r="34" spans="1:20" ht="9" customHeight="1">
      <c r="A34" s="40"/>
      <c r="B34" s="63" t="s">
        <v>38</v>
      </c>
      <c r="C34" s="13"/>
      <c r="D34" s="12"/>
      <c r="E34" s="85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28"/>
    </row>
    <row r="35" spans="1:20" ht="9" customHeight="1">
      <c r="A35" s="40"/>
      <c r="B35" s="63"/>
      <c r="C35" s="13"/>
      <c r="D35" s="12"/>
      <c r="E35" s="85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28"/>
    </row>
    <row r="36" spans="1:20" ht="9" customHeight="1">
      <c r="A36" s="40"/>
      <c r="B36" s="63" t="s">
        <v>39</v>
      </c>
      <c r="C36" s="13"/>
      <c r="D36" s="12"/>
      <c r="E36" s="85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28"/>
    </row>
    <row r="37" spans="1:20" ht="9" customHeight="1">
      <c r="A37" s="41"/>
      <c r="B37" s="63"/>
      <c r="C37" s="13"/>
      <c r="D37" s="22"/>
      <c r="E37" s="85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28"/>
    </row>
    <row r="38" spans="1:20" ht="9" customHeight="1">
      <c r="A38" s="40" t="s">
        <v>40</v>
      </c>
      <c r="B38" s="64"/>
      <c r="C38" s="65"/>
      <c r="D38" s="66"/>
      <c r="E38" s="86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8"/>
    </row>
    <row r="39" spans="1:20" ht="9" customHeight="1">
      <c r="A39" s="40"/>
      <c r="B39" s="122" t="s">
        <v>41</v>
      </c>
      <c r="C39" s="123"/>
      <c r="D39" s="123"/>
      <c r="E39" s="55"/>
      <c r="F39" s="56" t="s">
        <v>42</v>
      </c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7"/>
    </row>
    <row r="40" spans="1:20" ht="9" customHeight="1">
      <c r="A40" s="40"/>
      <c r="B40" s="124" t="s">
        <v>43</v>
      </c>
      <c r="C40" s="125"/>
      <c r="D40" s="125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30"/>
    </row>
    <row r="41" spans="1:20">
      <c r="A41" s="41"/>
      <c r="B41" s="126" t="s">
        <v>44</v>
      </c>
      <c r="C41" s="127"/>
      <c r="D41" s="12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31"/>
    </row>
    <row r="42" spans="1:20">
      <c r="A42" s="19"/>
      <c r="B42" s="112" t="s">
        <v>45</v>
      </c>
      <c r="C42" s="113"/>
      <c r="D42" s="11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/>
    </row>
    <row r="45" spans="1:20">
      <c r="A45" s="26" t="s">
        <v>6</v>
      </c>
    </row>
    <row r="46" spans="1:20">
      <c r="B46" s="71" t="s">
        <v>7</v>
      </c>
    </row>
    <row r="47" spans="1:20">
      <c r="B47" s="24" t="s">
        <v>46</v>
      </c>
      <c r="C47" s="25"/>
    </row>
  </sheetData>
  <mergeCells count="29">
    <mergeCell ref="A1:B1"/>
    <mergeCell ref="C1:E1"/>
    <mergeCell ref="F1:K1"/>
    <mergeCell ref="L1:T1"/>
    <mergeCell ref="A5:B5"/>
    <mergeCell ref="C5:E5"/>
    <mergeCell ref="F5:K5"/>
    <mergeCell ref="O5:T5"/>
    <mergeCell ref="A2:B2"/>
    <mergeCell ref="C2:D2"/>
    <mergeCell ref="F2:K2"/>
    <mergeCell ref="L2:T2"/>
    <mergeCell ref="A3:B3"/>
    <mergeCell ref="C3:T3"/>
    <mergeCell ref="A4:B4"/>
    <mergeCell ref="C4:E4"/>
    <mergeCell ref="F4:K4"/>
    <mergeCell ref="L4:N4"/>
    <mergeCell ref="O4:T4"/>
    <mergeCell ref="B42:D42"/>
    <mergeCell ref="D18:E18"/>
    <mergeCell ref="D19:E19"/>
    <mergeCell ref="D21:E21"/>
    <mergeCell ref="D22:E22"/>
    <mergeCell ref="A7:D7"/>
    <mergeCell ref="D17:E17"/>
    <mergeCell ref="B39:D39"/>
    <mergeCell ref="B40:D40"/>
    <mergeCell ref="B41:D41"/>
  </mergeCells>
  <dataValidations count="3">
    <dataValidation type="list" allowBlank="1" showInputMessage="1" showErrorMessage="1" sqref="WVN983049:WWB983077 F65546:T65574 JB65545:JP65573 SX65545:TL65573 ACT65545:ADH65573 AMP65545:AND65573 AWL65545:AWZ65573 BGH65545:BGV65573 BQD65545:BQR65573 BZZ65545:CAN65573 CJV65545:CKJ65573 CTR65545:CUF65573 DDN65545:DEB65573 DNJ65545:DNX65573 DXF65545:DXT65573 EHB65545:EHP65573 EQX65545:ERL65573 FAT65545:FBH65573 FKP65545:FLD65573 FUL65545:FUZ65573 GEH65545:GEV65573 GOD65545:GOR65573 GXZ65545:GYN65573 HHV65545:HIJ65573 HRR65545:HSF65573 IBN65545:ICB65573 ILJ65545:ILX65573 IVF65545:IVT65573 JFB65545:JFP65573 JOX65545:JPL65573 JYT65545:JZH65573 KIP65545:KJD65573 KSL65545:KSZ65573 LCH65545:LCV65573 LMD65545:LMR65573 LVZ65545:LWN65573 MFV65545:MGJ65573 MPR65545:MQF65573 MZN65545:NAB65573 NJJ65545:NJX65573 NTF65545:NTT65573 ODB65545:ODP65573 OMX65545:ONL65573 OWT65545:OXH65573 PGP65545:PHD65573 PQL65545:PQZ65573 QAH65545:QAV65573 QKD65545:QKR65573 QTZ65545:QUN65573 RDV65545:REJ65573 RNR65545:ROF65573 RXN65545:RYB65573 SHJ65545:SHX65573 SRF65545:SRT65573 TBB65545:TBP65573 TKX65545:TLL65573 TUT65545:TVH65573 UEP65545:UFD65573 UOL65545:UOZ65573 UYH65545:UYV65573 VID65545:VIR65573 VRZ65545:VSN65573 WBV65545:WCJ65573 WLR65545:WMF65573 WVN65545:WWB65573 F131082:T131110 JB131081:JP131109 SX131081:TL131109 ACT131081:ADH131109 AMP131081:AND131109 AWL131081:AWZ131109 BGH131081:BGV131109 BQD131081:BQR131109 BZZ131081:CAN131109 CJV131081:CKJ131109 CTR131081:CUF131109 DDN131081:DEB131109 DNJ131081:DNX131109 DXF131081:DXT131109 EHB131081:EHP131109 EQX131081:ERL131109 FAT131081:FBH131109 FKP131081:FLD131109 FUL131081:FUZ131109 GEH131081:GEV131109 GOD131081:GOR131109 GXZ131081:GYN131109 HHV131081:HIJ131109 HRR131081:HSF131109 IBN131081:ICB131109 ILJ131081:ILX131109 IVF131081:IVT131109 JFB131081:JFP131109 JOX131081:JPL131109 JYT131081:JZH131109 KIP131081:KJD131109 KSL131081:KSZ131109 LCH131081:LCV131109 LMD131081:LMR131109 LVZ131081:LWN131109 MFV131081:MGJ131109 MPR131081:MQF131109 MZN131081:NAB131109 NJJ131081:NJX131109 NTF131081:NTT131109 ODB131081:ODP131109 OMX131081:ONL131109 OWT131081:OXH131109 PGP131081:PHD131109 PQL131081:PQZ131109 QAH131081:QAV131109 QKD131081:QKR131109 QTZ131081:QUN131109 RDV131081:REJ131109 RNR131081:ROF131109 RXN131081:RYB131109 SHJ131081:SHX131109 SRF131081:SRT131109 TBB131081:TBP131109 TKX131081:TLL131109 TUT131081:TVH131109 UEP131081:UFD131109 UOL131081:UOZ131109 UYH131081:UYV131109 VID131081:VIR131109 VRZ131081:VSN131109 WBV131081:WCJ131109 WLR131081:WMF131109 WVN131081:WWB131109 F196618:T196646 JB196617:JP196645 SX196617:TL196645 ACT196617:ADH196645 AMP196617:AND196645 AWL196617:AWZ196645 BGH196617:BGV196645 BQD196617:BQR196645 BZZ196617:CAN196645 CJV196617:CKJ196645 CTR196617:CUF196645 DDN196617:DEB196645 DNJ196617:DNX196645 DXF196617:DXT196645 EHB196617:EHP196645 EQX196617:ERL196645 FAT196617:FBH196645 FKP196617:FLD196645 FUL196617:FUZ196645 GEH196617:GEV196645 GOD196617:GOR196645 GXZ196617:GYN196645 HHV196617:HIJ196645 HRR196617:HSF196645 IBN196617:ICB196645 ILJ196617:ILX196645 IVF196617:IVT196645 JFB196617:JFP196645 JOX196617:JPL196645 JYT196617:JZH196645 KIP196617:KJD196645 KSL196617:KSZ196645 LCH196617:LCV196645 LMD196617:LMR196645 LVZ196617:LWN196645 MFV196617:MGJ196645 MPR196617:MQF196645 MZN196617:NAB196645 NJJ196617:NJX196645 NTF196617:NTT196645 ODB196617:ODP196645 OMX196617:ONL196645 OWT196617:OXH196645 PGP196617:PHD196645 PQL196617:PQZ196645 QAH196617:QAV196645 QKD196617:QKR196645 QTZ196617:QUN196645 RDV196617:REJ196645 RNR196617:ROF196645 RXN196617:RYB196645 SHJ196617:SHX196645 SRF196617:SRT196645 TBB196617:TBP196645 TKX196617:TLL196645 TUT196617:TVH196645 UEP196617:UFD196645 UOL196617:UOZ196645 UYH196617:UYV196645 VID196617:VIR196645 VRZ196617:VSN196645 WBV196617:WCJ196645 WLR196617:WMF196645 WVN196617:WWB196645 F262154:T262182 JB262153:JP262181 SX262153:TL262181 ACT262153:ADH262181 AMP262153:AND262181 AWL262153:AWZ262181 BGH262153:BGV262181 BQD262153:BQR262181 BZZ262153:CAN262181 CJV262153:CKJ262181 CTR262153:CUF262181 DDN262153:DEB262181 DNJ262153:DNX262181 DXF262153:DXT262181 EHB262153:EHP262181 EQX262153:ERL262181 FAT262153:FBH262181 FKP262153:FLD262181 FUL262153:FUZ262181 GEH262153:GEV262181 GOD262153:GOR262181 GXZ262153:GYN262181 HHV262153:HIJ262181 HRR262153:HSF262181 IBN262153:ICB262181 ILJ262153:ILX262181 IVF262153:IVT262181 JFB262153:JFP262181 JOX262153:JPL262181 JYT262153:JZH262181 KIP262153:KJD262181 KSL262153:KSZ262181 LCH262153:LCV262181 LMD262153:LMR262181 LVZ262153:LWN262181 MFV262153:MGJ262181 MPR262153:MQF262181 MZN262153:NAB262181 NJJ262153:NJX262181 NTF262153:NTT262181 ODB262153:ODP262181 OMX262153:ONL262181 OWT262153:OXH262181 PGP262153:PHD262181 PQL262153:PQZ262181 QAH262153:QAV262181 QKD262153:QKR262181 QTZ262153:QUN262181 RDV262153:REJ262181 RNR262153:ROF262181 RXN262153:RYB262181 SHJ262153:SHX262181 SRF262153:SRT262181 TBB262153:TBP262181 TKX262153:TLL262181 TUT262153:TVH262181 UEP262153:UFD262181 UOL262153:UOZ262181 UYH262153:UYV262181 VID262153:VIR262181 VRZ262153:VSN262181 WBV262153:WCJ262181 WLR262153:WMF262181 WVN262153:WWB262181 F327690:T327718 JB327689:JP327717 SX327689:TL327717 ACT327689:ADH327717 AMP327689:AND327717 AWL327689:AWZ327717 BGH327689:BGV327717 BQD327689:BQR327717 BZZ327689:CAN327717 CJV327689:CKJ327717 CTR327689:CUF327717 DDN327689:DEB327717 DNJ327689:DNX327717 DXF327689:DXT327717 EHB327689:EHP327717 EQX327689:ERL327717 FAT327689:FBH327717 FKP327689:FLD327717 FUL327689:FUZ327717 GEH327689:GEV327717 GOD327689:GOR327717 GXZ327689:GYN327717 HHV327689:HIJ327717 HRR327689:HSF327717 IBN327689:ICB327717 ILJ327689:ILX327717 IVF327689:IVT327717 JFB327689:JFP327717 JOX327689:JPL327717 JYT327689:JZH327717 KIP327689:KJD327717 KSL327689:KSZ327717 LCH327689:LCV327717 LMD327689:LMR327717 LVZ327689:LWN327717 MFV327689:MGJ327717 MPR327689:MQF327717 MZN327689:NAB327717 NJJ327689:NJX327717 NTF327689:NTT327717 ODB327689:ODP327717 OMX327689:ONL327717 OWT327689:OXH327717 PGP327689:PHD327717 PQL327689:PQZ327717 QAH327689:QAV327717 QKD327689:QKR327717 QTZ327689:QUN327717 RDV327689:REJ327717 RNR327689:ROF327717 RXN327689:RYB327717 SHJ327689:SHX327717 SRF327689:SRT327717 TBB327689:TBP327717 TKX327689:TLL327717 TUT327689:TVH327717 UEP327689:UFD327717 UOL327689:UOZ327717 UYH327689:UYV327717 VID327689:VIR327717 VRZ327689:VSN327717 WBV327689:WCJ327717 WLR327689:WMF327717 WVN327689:WWB327717 F393226:T393254 JB393225:JP393253 SX393225:TL393253 ACT393225:ADH393253 AMP393225:AND393253 AWL393225:AWZ393253 BGH393225:BGV393253 BQD393225:BQR393253 BZZ393225:CAN393253 CJV393225:CKJ393253 CTR393225:CUF393253 DDN393225:DEB393253 DNJ393225:DNX393253 DXF393225:DXT393253 EHB393225:EHP393253 EQX393225:ERL393253 FAT393225:FBH393253 FKP393225:FLD393253 FUL393225:FUZ393253 GEH393225:GEV393253 GOD393225:GOR393253 GXZ393225:GYN393253 HHV393225:HIJ393253 HRR393225:HSF393253 IBN393225:ICB393253 ILJ393225:ILX393253 IVF393225:IVT393253 JFB393225:JFP393253 JOX393225:JPL393253 JYT393225:JZH393253 KIP393225:KJD393253 KSL393225:KSZ393253 LCH393225:LCV393253 LMD393225:LMR393253 LVZ393225:LWN393253 MFV393225:MGJ393253 MPR393225:MQF393253 MZN393225:NAB393253 NJJ393225:NJX393253 NTF393225:NTT393253 ODB393225:ODP393253 OMX393225:ONL393253 OWT393225:OXH393253 PGP393225:PHD393253 PQL393225:PQZ393253 QAH393225:QAV393253 QKD393225:QKR393253 QTZ393225:QUN393253 RDV393225:REJ393253 RNR393225:ROF393253 RXN393225:RYB393253 SHJ393225:SHX393253 SRF393225:SRT393253 TBB393225:TBP393253 TKX393225:TLL393253 TUT393225:TVH393253 UEP393225:UFD393253 UOL393225:UOZ393253 UYH393225:UYV393253 VID393225:VIR393253 VRZ393225:VSN393253 WBV393225:WCJ393253 WLR393225:WMF393253 WVN393225:WWB393253 F458762:T458790 JB458761:JP458789 SX458761:TL458789 ACT458761:ADH458789 AMP458761:AND458789 AWL458761:AWZ458789 BGH458761:BGV458789 BQD458761:BQR458789 BZZ458761:CAN458789 CJV458761:CKJ458789 CTR458761:CUF458789 DDN458761:DEB458789 DNJ458761:DNX458789 DXF458761:DXT458789 EHB458761:EHP458789 EQX458761:ERL458789 FAT458761:FBH458789 FKP458761:FLD458789 FUL458761:FUZ458789 GEH458761:GEV458789 GOD458761:GOR458789 GXZ458761:GYN458789 HHV458761:HIJ458789 HRR458761:HSF458789 IBN458761:ICB458789 ILJ458761:ILX458789 IVF458761:IVT458789 JFB458761:JFP458789 JOX458761:JPL458789 JYT458761:JZH458789 KIP458761:KJD458789 KSL458761:KSZ458789 LCH458761:LCV458789 LMD458761:LMR458789 LVZ458761:LWN458789 MFV458761:MGJ458789 MPR458761:MQF458789 MZN458761:NAB458789 NJJ458761:NJX458789 NTF458761:NTT458789 ODB458761:ODP458789 OMX458761:ONL458789 OWT458761:OXH458789 PGP458761:PHD458789 PQL458761:PQZ458789 QAH458761:QAV458789 QKD458761:QKR458789 QTZ458761:QUN458789 RDV458761:REJ458789 RNR458761:ROF458789 RXN458761:RYB458789 SHJ458761:SHX458789 SRF458761:SRT458789 TBB458761:TBP458789 TKX458761:TLL458789 TUT458761:TVH458789 UEP458761:UFD458789 UOL458761:UOZ458789 UYH458761:UYV458789 VID458761:VIR458789 VRZ458761:VSN458789 WBV458761:WCJ458789 WLR458761:WMF458789 WVN458761:WWB458789 F524298:T524326 JB524297:JP524325 SX524297:TL524325 ACT524297:ADH524325 AMP524297:AND524325 AWL524297:AWZ524325 BGH524297:BGV524325 BQD524297:BQR524325 BZZ524297:CAN524325 CJV524297:CKJ524325 CTR524297:CUF524325 DDN524297:DEB524325 DNJ524297:DNX524325 DXF524297:DXT524325 EHB524297:EHP524325 EQX524297:ERL524325 FAT524297:FBH524325 FKP524297:FLD524325 FUL524297:FUZ524325 GEH524297:GEV524325 GOD524297:GOR524325 GXZ524297:GYN524325 HHV524297:HIJ524325 HRR524297:HSF524325 IBN524297:ICB524325 ILJ524297:ILX524325 IVF524297:IVT524325 JFB524297:JFP524325 JOX524297:JPL524325 JYT524297:JZH524325 KIP524297:KJD524325 KSL524297:KSZ524325 LCH524297:LCV524325 LMD524297:LMR524325 LVZ524297:LWN524325 MFV524297:MGJ524325 MPR524297:MQF524325 MZN524297:NAB524325 NJJ524297:NJX524325 NTF524297:NTT524325 ODB524297:ODP524325 OMX524297:ONL524325 OWT524297:OXH524325 PGP524297:PHD524325 PQL524297:PQZ524325 QAH524297:QAV524325 QKD524297:QKR524325 QTZ524297:QUN524325 RDV524297:REJ524325 RNR524297:ROF524325 RXN524297:RYB524325 SHJ524297:SHX524325 SRF524297:SRT524325 TBB524297:TBP524325 TKX524297:TLL524325 TUT524297:TVH524325 UEP524297:UFD524325 UOL524297:UOZ524325 UYH524297:UYV524325 VID524297:VIR524325 VRZ524297:VSN524325 WBV524297:WCJ524325 WLR524297:WMF524325 WVN524297:WWB524325 F589834:T589862 JB589833:JP589861 SX589833:TL589861 ACT589833:ADH589861 AMP589833:AND589861 AWL589833:AWZ589861 BGH589833:BGV589861 BQD589833:BQR589861 BZZ589833:CAN589861 CJV589833:CKJ589861 CTR589833:CUF589861 DDN589833:DEB589861 DNJ589833:DNX589861 DXF589833:DXT589861 EHB589833:EHP589861 EQX589833:ERL589861 FAT589833:FBH589861 FKP589833:FLD589861 FUL589833:FUZ589861 GEH589833:GEV589861 GOD589833:GOR589861 GXZ589833:GYN589861 HHV589833:HIJ589861 HRR589833:HSF589861 IBN589833:ICB589861 ILJ589833:ILX589861 IVF589833:IVT589861 JFB589833:JFP589861 JOX589833:JPL589861 JYT589833:JZH589861 KIP589833:KJD589861 KSL589833:KSZ589861 LCH589833:LCV589861 LMD589833:LMR589861 LVZ589833:LWN589861 MFV589833:MGJ589861 MPR589833:MQF589861 MZN589833:NAB589861 NJJ589833:NJX589861 NTF589833:NTT589861 ODB589833:ODP589861 OMX589833:ONL589861 OWT589833:OXH589861 PGP589833:PHD589861 PQL589833:PQZ589861 QAH589833:QAV589861 QKD589833:QKR589861 QTZ589833:QUN589861 RDV589833:REJ589861 RNR589833:ROF589861 RXN589833:RYB589861 SHJ589833:SHX589861 SRF589833:SRT589861 TBB589833:TBP589861 TKX589833:TLL589861 TUT589833:TVH589861 UEP589833:UFD589861 UOL589833:UOZ589861 UYH589833:UYV589861 VID589833:VIR589861 VRZ589833:VSN589861 WBV589833:WCJ589861 WLR589833:WMF589861 WVN589833:WWB589861 F655370:T655398 JB655369:JP655397 SX655369:TL655397 ACT655369:ADH655397 AMP655369:AND655397 AWL655369:AWZ655397 BGH655369:BGV655397 BQD655369:BQR655397 BZZ655369:CAN655397 CJV655369:CKJ655397 CTR655369:CUF655397 DDN655369:DEB655397 DNJ655369:DNX655397 DXF655369:DXT655397 EHB655369:EHP655397 EQX655369:ERL655397 FAT655369:FBH655397 FKP655369:FLD655397 FUL655369:FUZ655397 GEH655369:GEV655397 GOD655369:GOR655397 GXZ655369:GYN655397 HHV655369:HIJ655397 HRR655369:HSF655397 IBN655369:ICB655397 ILJ655369:ILX655397 IVF655369:IVT655397 JFB655369:JFP655397 JOX655369:JPL655397 JYT655369:JZH655397 KIP655369:KJD655397 KSL655369:KSZ655397 LCH655369:LCV655397 LMD655369:LMR655397 LVZ655369:LWN655397 MFV655369:MGJ655397 MPR655369:MQF655397 MZN655369:NAB655397 NJJ655369:NJX655397 NTF655369:NTT655397 ODB655369:ODP655397 OMX655369:ONL655397 OWT655369:OXH655397 PGP655369:PHD655397 PQL655369:PQZ655397 QAH655369:QAV655397 QKD655369:QKR655397 QTZ655369:QUN655397 RDV655369:REJ655397 RNR655369:ROF655397 RXN655369:RYB655397 SHJ655369:SHX655397 SRF655369:SRT655397 TBB655369:TBP655397 TKX655369:TLL655397 TUT655369:TVH655397 UEP655369:UFD655397 UOL655369:UOZ655397 UYH655369:UYV655397 VID655369:VIR655397 VRZ655369:VSN655397 WBV655369:WCJ655397 WLR655369:WMF655397 WVN655369:WWB655397 F720906:T720934 JB720905:JP720933 SX720905:TL720933 ACT720905:ADH720933 AMP720905:AND720933 AWL720905:AWZ720933 BGH720905:BGV720933 BQD720905:BQR720933 BZZ720905:CAN720933 CJV720905:CKJ720933 CTR720905:CUF720933 DDN720905:DEB720933 DNJ720905:DNX720933 DXF720905:DXT720933 EHB720905:EHP720933 EQX720905:ERL720933 FAT720905:FBH720933 FKP720905:FLD720933 FUL720905:FUZ720933 GEH720905:GEV720933 GOD720905:GOR720933 GXZ720905:GYN720933 HHV720905:HIJ720933 HRR720905:HSF720933 IBN720905:ICB720933 ILJ720905:ILX720933 IVF720905:IVT720933 JFB720905:JFP720933 JOX720905:JPL720933 JYT720905:JZH720933 KIP720905:KJD720933 KSL720905:KSZ720933 LCH720905:LCV720933 LMD720905:LMR720933 LVZ720905:LWN720933 MFV720905:MGJ720933 MPR720905:MQF720933 MZN720905:NAB720933 NJJ720905:NJX720933 NTF720905:NTT720933 ODB720905:ODP720933 OMX720905:ONL720933 OWT720905:OXH720933 PGP720905:PHD720933 PQL720905:PQZ720933 QAH720905:QAV720933 QKD720905:QKR720933 QTZ720905:QUN720933 RDV720905:REJ720933 RNR720905:ROF720933 RXN720905:RYB720933 SHJ720905:SHX720933 SRF720905:SRT720933 TBB720905:TBP720933 TKX720905:TLL720933 TUT720905:TVH720933 UEP720905:UFD720933 UOL720905:UOZ720933 UYH720905:UYV720933 VID720905:VIR720933 VRZ720905:VSN720933 WBV720905:WCJ720933 WLR720905:WMF720933 WVN720905:WWB720933 F786442:T786470 JB786441:JP786469 SX786441:TL786469 ACT786441:ADH786469 AMP786441:AND786469 AWL786441:AWZ786469 BGH786441:BGV786469 BQD786441:BQR786469 BZZ786441:CAN786469 CJV786441:CKJ786469 CTR786441:CUF786469 DDN786441:DEB786469 DNJ786441:DNX786469 DXF786441:DXT786469 EHB786441:EHP786469 EQX786441:ERL786469 FAT786441:FBH786469 FKP786441:FLD786469 FUL786441:FUZ786469 GEH786441:GEV786469 GOD786441:GOR786469 GXZ786441:GYN786469 HHV786441:HIJ786469 HRR786441:HSF786469 IBN786441:ICB786469 ILJ786441:ILX786469 IVF786441:IVT786469 JFB786441:JFP786469 JOX786441:JPL786469 JYT786441:JZH786469 KIP786441:KJD786469 KSL786441:KSZ786469 LCH786441:LCV786469 LMD786441:LMR786469 LVZ786441:LWN786469 MFV786441:MGJ786469 MPR786441:MQF786469 MZN786441:NAB786469 NJJ786441:NJX786469 NTF786441:NTT786469 ODB786441:ODP786469 OMX786441:ONL786469 OWT786441:OXH786469 PGP786441:PHD786469 PQL786441:PQZ786469 QAH786441:QAV786469 QKD786441:QKR786469 QTZ786441:QUN786469 RDV786441:REJ786469 RNR786441:ROF786469 RXN786441:RYB786469 SHJ786441:SHX786469 SRF786441:SRT786469 TBB786441:TBP786469 TKX786441:TLL786469 TUT786441:TVH786469 UEP786441:UFD786469 UOL786441:UOZ786469 UYH786441:UYV786469 VID786441:VIR786469 VRZ786441:VSN786469 WBV786441:WCJ786469 WLR786441:WMF786469 WVN786441:WWB786469 F851978:T852006 JB851977:JP852005 SX851977:TL852005 ACT851977:ADH852005 AMP851977:AND852005 AWL851977:AWZ852005 BGH851977:BGV852005 BQD851977:BQR852005 BZZ851977:CAN852005 CJV851977:CKJ852005 CTR851977:CUF852005 DDN851977:DEB852005 DNJ851977:DNX852005 DXF851977:DXT852005 EHB851977:EHP852005 EQX851977:ERL852005 FAT851977:FBH852005 FKP851977:FLD852005 FUL851977:FUZ852005 GEH851977:GEV852005 GOD851977:GOR852005 GXZ851977:GYN852005 HHV851977:HIJ852005 HRR851977:HSF852005 IBN851977:ICB852005 ILJ851977:ILX852005 IVF851977:IVT852005 JFB851977:JFP852005 JOX851977:JPL852005 JYT851977:JZH852005 KIP851977:KJD852005 KSL851977:KSZ852005 LCH851977:LCV852005 LMD851977:LMR852005 LVZ851977:LWN852005 MFV851977:MGJ852005 MPR851977:MQF852005 MZN851977:NAB852005 NJJ851977:NJX852005 NTF851977:NTT852005 ODB851977:ODP852005 OMX851977:ONL852005 OWT851977:OXH852005 PGP851977:PHD852005 PQL851977:PQZ852005 QAH851977:QAV852005 QKD851977:QKR852005 QTZ851977:QUN852005 RDV851977:REJ852005 RNR851977:ROF852005 RXN851977:RYB852005 SHJ851977:SHX852005 SRF851977:SRT852005 TBB851977:TBP852005 TKX851977:TLL852005 TUT851977:TVH852005 UEP851977:UFD852005 UOL851977:UOZ852005 UYH851977:UYV852005 VID851977:VIR852005 VRZ851977:VSN852005 WBV851977:WCJ852005 WLR851977:WMF852005 WVN851977:WWB852005 F917514:T917542 JB917513:JP917541 SX917513:TL917541 ACT917513:ADH917541 AMP917513:AND917541 AWL917513:AWZ917541 BGH917513:BGV917541 BQD917513:BQR917541 BZZ917513:CAN917541 CJV917513:CKJ917541 CTR917513:CUF917541 DDN917513:DEB917541 DNJ917513:DNX917541 DXF917513:DXT917541 EHB917513:EHP917541 EQX917513:ERL917541 FAT917513:FBH917541 FKP917513:FLD917541 FUL917513:FUZ917541 GEH917513:GEV917541 GOD917513:GOR917541 GXZ917513:GYN917541 HHV917513:HIJ917541 HRR917513:HSF917541 IBN917513:ICB917541 ILJ917513:ILX917541 IVF917513:IVT917541 JFB917513:JFP917541 JOX917513:JPL917541 JYT917513:JZH917541 KIP917513:KJD917541 KSL917513:KSZ917541 LCH917513:LCV917541 LMD917513:LMR917541 LVZ917513:LWN917541 MFV917513:MGJ917541 MPR917513:MQF917541 MZN917513:NAB917541 NJJ917513:NJX917541 NTF917513:NTT917541 ODB917513:ODP917541 OMX917513:ONL917541 OWT917513:OXH917541 PGP917513:PHD917541 PQL917513:PQZ917541 QAH917513:QAV917541 QKD917513:QKR917541 QTZ917513:QUN917541 RDV917513:REJ917541 RNR917513:ROF917541 RXN917513:RYB917541 SHJ917513:SHX917541 SRF917513:SRT917541 TBB917513:TBP917541 TKX917513:TLL917541 TUT917513:TVH917541 UEP917513:UFD917541 UOL917513:UOZ917541 UYH917513:UYV917541 VID917513:VIR917541 VRZ917513:VSN917541 WBV917513:WCJ917541 WLR917513:WMF917541 WVN917513:WWB917541 F983050:T983078 JB983049:JP983077 SX983049:TL983077 ACT983049:ADH983077 AMP983049:AND983077 AWL983049:AWZ983077 BGH983049:BGV983077 BQD983049:BQR983077 BZZ983049:CAN983077 CJV983049:CKJ983077 CTR983049:CUF983077 DDN983049:DEB983077 DNJ983049:DNX983077 DXF983049:DXT983077 EHB983049:EHP983077 EQX983049:ERL983077 FAT983049:FBH983077 FKP983049:FLD983077 FUL983049:FUZ983077 GEH983049:GEV983077 GOD983049:GOR983077 GXZ983049:GYN983077 HHV983049:HIJ983077 HRR983049:HSF983077 IBN983049:ICB983077 ILJ983049:ILX983077 IVF983049:IVT983077 JFB983049:JFP983077 JOX983049:JPL983077 JYT983049:JZH983077 KIP983049:KJD983077 KSL983049:KSZ983077 LCH983049:LCV983077 LMD983049:LMR983077 LVZ983049:LWN983077 MFV983049:MGJ983077 MPR983049:MQF983077 MZN983049:NAB983077 NJJ983049:NJX983077 NTF983049:NTT983077 ODB983049:ODP983077 OMX983049:ONL983077 OWT983049:OXH983077 PGP983049:PHD983077 PQL983049:PQZ983077 QAH983049:QAV983077 QKD983049:QKR983077 QTZ983049:QUN983077 RDV983049:REJ983077 RNR983049:ROF983077 RXN983049:RYB983077 SHJ983049:SHX983077 SRF983049:SRT983077 TBB983049:TBP983077 TKX983049:TLL983077 TUT983049:TVH983077 UEP983049:UFD983077 UOL983049:UOZ983077 UYH983049:UYV983077 VID983049:VIR983077 VRZ983049:VSN983077 WBV983049:WCJ983077 WLR983049:WMF983077 JB8:JP37 WVN8:WWB37 WLR8:WMF37 WBV8:WCJ37 VRZ8:VSN37 VID8:VIR37 UYH8:UYV37 UOL8:UOZ37 UEP8:UFD37 TUT8:TVH37 TKX8:TLL37 TBB8:TBP37 SRF8:SRT37 SHJ8:SHX37 RXN8:RYB37 RNR8:ROF37 RDV8:REJ37 QTZ8:QUN37 QKD8:QKR37 QAH8:QAV37 PQL8:PQZ37 PGP8:PHD37 OWT8:OXH37 OMX8:ONL37 ODB8:ODP37 NTF8:NTT37 NJJ8:NJX37 MZN8:NAB37 MPR8:MQF37 MFV8:MGJ37 LVZ8:LWN37 LMD8:LMR37 LCH8:LCV37 KSL8:KSZ37 KIP8:KJD37 JYT8:JZH37 JOX8:JPL37 JFB8:JFP37 IVF8:IVT37 ILJ8:ILX37 IBN8:ICB37 HRR8:HSF37 HHV8:HIJ37 GXZ8:GYN37 GOD8:GOR37 GEH8:GEV37 FUL8:FUZ37 FKP8:FLD37 FAT8:FBH37 EQX8:ERL37 EHB8:EHP37 DXF8:DXT37 DNJ8:DNX37 DDN8:DEB37 CTR8:CUF37 CJV8:CKJ37 BZZ8:CAN37 BQD8:BQR37 BGH8:BGV37 AWL8:AWZ37 AMP8:AND37 ACT8:ADH37 SX8:TL37 H33 F34:T38 F8:T30 F31:G33 I31:T33" xr:uid="{00000000-0002-0000-0100-000000000000}">
      <formula1>"O, "</formula1>
    </dataValidation>
    <dataValidation type="list" allowBlank="1" showInputMessage="1" showErrorMessage="1" sqref="F40:T40 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F65576:T65576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F131112:T131112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F196648:T196648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F262184:T262184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F327720:T327720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F393256:T393256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F458792:T458792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F524328:T524328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F589864:T589864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F655400:T655400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F720936:T720936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F786472:T786472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F852008:T852008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F917544:T917544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F983080:T983080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" xr:uid="{00000000-0002-0000-0100-000001000000}">
      <formula1>"P,F, "</formula1>
    </dataValidation>
    <dataValidation type="list" allowBlank="1" showInputMessage="1" showErrorMessage="1" sqref="F39:T39 JB38:JP38 SX38:TL38 ACT38:ADH38 AMP38:AND38 AWL38:AWZ38 BGH38:BGV38 BQD38:BQR38 BZZ38:CAN38 CJV38:CKJ38 CTR38:CUF38 DDN38:DEB38 DNJ38:DNX38 DXF38:DXT38 EHB38:EHP38 EQX38:ERL38 FAT38:FBH38 FKP38:FLD38 FUL38:FUZ38 GEH38:GEV38 GOD38:GOR38 GXZ38:GYN38 HHV38:HIJ38 HRR38:HSF38 IBN38:ICB38 ILJ38:ILX38 IVF38:IVT38 JFB38:JFP38 JOX38:JPL38 JYT38:JZH38 KIP38:KJD38 KSL38:KSZ38 LCH38:LCV38 LMD38:LMR38 LVZ38:LWN38 MFV38:MGJ38 MPR38:MQF38 MZN38:NAB38 NJJ38:NJX38 NTF38:NTT38 ODB38:ODP38 OMX38:ONL38 OWT38:OXH38 PGP38:PHD38 PQL38:PQZ38 QAH38:QAV38 QKD38:QKR38 QTZ38:QUN38 RDV38:REJ38 RNR38:ROF38 RXN38:RYB38 SHJ38:SHX38 SRF38:SRT38 TBB38:TBP38 TKX38:TLL38 TUT38:TVH38 UEP38:UFD38 UOL38:UOZ38 UYH38:UYV38 VID38:VIR38 VRZ38:VSN38 WBV38:WCJ38 WLR38:WMF38 WVN38:WWB38 F65575:T65575 JB65574:JP65574 SX65574:TL65574 ACT65574:ADH65574 AMP65574:AND65574 AWL65574:AWZ65574 BGH65574:BGV65574 BQD65574:BQR65574 BZZ65574:CAN65574 CJV65574:CKJ65574 CTR65574:CUF65574 DDN65574:DEB65574 DNJ65574:DNX65574 DXF65574:DXT65574 EHB65574:EHP65574 EQX65574:ERL65574 FAT65574:FBH65574 FKP65574:FLD65574 FUL65574:FUZ65574 GEH65574:GEV65574 GOD65574:GOR65574 GXZ65574:GYN65574 HHV65574:HIJ65574 HRR65574:HSF65574 IBN65574:ICB65574 ILJ65574:ILX65574 IVF65574:IVT65574 JFB65574:JFP65574 JOX65574:JPL65574 JYT65574:JZH65574 KIP65574:KJD65574 KSL65574:KSZ65574 LCH65574:LCV65574 LMD65574:LMR65574 LVZ65574:LWN65574 MFV65574:MGJ65574 MPR65574:MQF65574 MZN65574:NAB65574 NJJ65574:NJX65574 NTF65574:NTT65574 ODB65574:ODP65574 OMX65574:ONL65574 OWT65574:OXH65574 PGP65574:PHD65574 PQL65574:PQZ65574 QAH65574:QAV65574 QKD65574:QKR65574 QTZ65574:QUN65574 RDV65574:REJ65574 RNR65574:ROF65574 RXN65574:RYB65574 SHJ65574:SHX65574 SRF65574:SRT65574 TBB65574:TBP65574 TKX65574:TLL65574 TUT65574:TVH65574 UEP65574:UFD65574 UOL65574:UOZ65574 UYH65574:UYV65574 VID65574:VIR65574 VRZ65574:VSN65574 WBV65574:WCJ65574 WLR65574:WMF65574 WVN65574:WWB65574 F131111:T131111 JB131110:JP131110 SX131110:TL131110 ACT131110:ADH131110 AMP131110:AND131110 AWL131110:AWZ131110 BGH131110:BGV131110 BQD131110:BQR131110 BZZ131110:CAN131110 CJV131110:CKJ131110 CTR131110:CUF131110 DDN131110:DEB131110 DNJ131110:DNX131110 DXF131110:DXT131110 EHB131110:EHP131110 EQX131110:ERL131110 FAT131110:FBH131110 FKP131110:FLD131110 FUL131110:FUZ131110 GEH131110:GEV131110 GOD131110:GOR131110 GXZ131110:GYN131110 HHV131110:HIJ131110 HRR131110:HSF131110 IBN131110:ICB131110 ILJ131110:ILX131110 IVF131110:IVT131110 JFB131110:JFP131110 JOX131110:JPL131110 JYT131110:JZH131110 KIP131110:KJD131110 KSL131110:KSZ131110 LCH131110:LCV131110 LMD131110:LMR131110 LVZ131110:LWN131110 MFV131110:MGJ131110 MPR131110:MQF131110 MZN131110:NAB131110 NJJ131110:NJX131110 NTF131110:NTT131110 ODB131110:ODP131110 OMX131110:ONL131110 OWT131110:OXH131110 PGP131110:PHD131110 PQL131110:PQZ131110 QAH131110:QAV131110 QKD131110:QKR131110 QTZ131110:QUN131110 RDV131110:REJ131110 RNR131110:ROF131110 RXN131110:RYB131110 SHJ131110:SHX131110 SRF131110:SRT131110 TBB131110:TBP131110 TKX131110:TLL131110 TUT131110:TVH131110 UEP131110:UFD131110 UOL131110:UOZ131110 UYH131110:UYV131110 VID131110:VIR131110 VRZ131110:VSN131110 WBV131110:WCJ131110 WLR131110:WMF131110 WVN131110:WWB131110 F196647:T196647 JB196646:JP196646 SX196646:TL196646 ACT196646:ADH196646 AMP196646:AND196646 AWL196646:AWZ196646 BGH196646:BGV196646 BQD196646:BQR196646 BZZ196646:CAN196646 CJV196646:CKJ196646 CTR196646:CUF196646 DDN196646:DEB196646 DNJ196646:DNX196646 DXF196646:DXT196646 EHB196646:EHP196646 EQX196646:ERL196646 FAT196646:FBH196646 FKP196646:FLD196646 FUL196646:FUZ196646 GEH196646:GEV196646 GOD196646:GOR196646 GXZ196646:GYN196646 HHV196646:HIJ196646 HRR196646:HSF196646 IBN196646:ICB196646 ILJ196646:ILX196646 IVF196646:IVT196646 JFB196646:JFP196646 JOX196646:JPL196646 JYT196646:JZH196646 KIP196646:KJD196646 KSL196646:KSZ196646 LCH196646:LCV196646 LMD196646:LMR196646 LVZ196646:LWN196646 MFV196646:MGJ196646 MPR196646:MQF196646 MZN196646:NAB196646 NJJ196646:NJX196646 NTF196646:NTT196646 ODB196646:ODP196646 OMX196646:ONL196646 OWT196646:OXH196646 PGP196646:PHD196646 PQL196646:PQZ196646 QAH196646:QAV196646 QKD196646:QKR196646 QTZ196646:QUN196646 RDV196646:REJ196646 RNR196646:ROF196646 RXN196646:RYB196646 SHJ196646:SHX196646 SRF196646:SRT196646 TBB196646:TBP196646 TKX196646:TLL196646 TUT196646:TVH196646 UEP196646:UFD196646 UOL196646:UOZ196646 UYH196646:UYV196646 VID196646:VIR196646 VRZ196646:VSN196646 WBV196646:WCJ196646 WLR196646:WMF196646 WVN196646:WWB196646 F262183:T262183 JB262182:JP262182 SX262182:TL262182 ACT262182:ADH262182 AMP262182:AND262182 AWL262182:AWZ262182 BGH262182:BGV262182 BQD262182:BQR262182 BZZ262182:CAN262182 CJV262182:CKJ262182 CTR262182:CUF262182 DDN262182:DEB262182 DNJ262182:DNX262182 DXF262182:DXT262182 EHB262182:EHP262182 EQX262182:ERL262182 FAT262182:FBH262182 FKP262182:FLD262182 FUL262182:FUZ262182 GEH262182:GEV262182 GOD262182:GOR262182 GXZ262182:GYN262182 HHV262182:HIJ262182 HRR262182:HSF262182 IBN262182:ICB262182 ILJ262182:ILX262182 IVF262182:IVT262182 JFB262182:JFP262182 JOX262182:JPL262182 JYT262182:JZH262182 KIP262182:KJD262182 KSL262182:KSZ262182 LCH262182:LCV262182 LMD262182:LMR262182 LVZ262182:LWN262182 MFV262182:MGJ262182 MPR262182:MQF262182 MZN262182:NAB262182 NJJ262182:NJX262182 NTF262182:NTT262182 ODB262182:ODP262182 OMX262182:ONL262182 OWT262182:OXH262182 PGP262182:PHD262182 PQL262182:PQZ262182 QAH262182:QAV262182 QKD262182:QKR262182 QTZ262182:QUN262182 RDV262182:REJ262182 RNR262182:ROF262182 RXN262182:RYB262182 SHJ262182:SHX262182 SRF262182:SRT262182 TBB262182:TBP262182 TKX262182:TLL262182 TUT262182:TVH262182 UEP262182:UFD262182 UOL262182:UOZ262182 UYH262182:UYV262182 VID262182:VIR262182 VRZ262182:VSN262182 WBV262182:WCJ262182 WLR262182:WMF262182 WVN262182:WWB262182 F327719:T327719 JB327718:JP327718 SX327718:TL327718 ACT327718:ADH327718 AMP327718:AND327718 AWL327718:AWZ327718 BGH327718:BGV327718 BQD327718:BQR327718 BZZ327718:CAN327718 CJV327718:CKJ327718 CTR327718:CUF327718 DDN327718:DEB327718 DNJ327718:DNX327718 DXF327718:DXT327718 EHB327718:EHP327718 EQX327718:ERL327718 FAT327718:FBH327718 FKP327718:FLD327718 FUL327718:FUZ327718 GEH327718:GEV327718 GOD327718:GOR327718 GXZ327718:GYN327718 HHV327718:HIJ327718 HRR327718:HSF327718 IBN327718:ICB327718 ILJ327718:ILX327718 IVF327718:IVT327718 JFB327718:JFP327718 JOX327718:JPL327718 JYT327718:JZH327718 KIP327718:KJD327718 KSL327718:KSZ327718 LCH327718:LCV327718 LMD327718:LMR327718 LVZ327718:LWN327718 MFV327718:MGJ327718 MPR327718:MQF327718 MZN327718:NAB327718 NJJ327718:NJX327718 NTF327718:NTT327718 ODB327718:ODP327718 OMX327718:ONL327718 OWT327718:OXH327718 PGP327718:PHD327718 PQL327718:PQZ327718 QAH327718:QAV327718 QKD327718:QKR327718 QTZ327718:QUN327718 RDV327718:REJ327718 RNR327718:ROF327718 RXN327718:RYB327718 SHJ327718:SHX327718 SRF327718:SRT327718 TBB327718:TBP327718 TKX327718:TLL327718 TUT327718:TVH327718 UEP327718:UFD327718 UOL327718:UOZ327718 UYH327718:UYV327718 VID327718:VIR327718 VRZ327718:VSN327718 WBV327718:WCJ327718 WLR327718:WMF327718 WVN327718:WWB327718 F393255:T393255 JB393254:JP393254 SX393254:TL393254 ACT393254:ADH393254 AMP393254:AND393254 AWL393254:AWZ393254 BGH393254:BGV393254 BQD393254:BQR393254 BZZ393254:CAN393254 CJV393254:CKJ393254 CTR393254:CUF393254 DDN393254:DEB393254 DNJ393254:DNX393254 DXF393254:DXT393254 EHB393254:EHP393254 EQX393254:ERL393254 FAT393254:FBH393254 FKP393254:FLD393254 FUL393254:FUZ393254 GEH393254:GEV393254 GOD393254:GOR393254 GXZ393254:GYN393254 HHV393254:HIJ393254 HRR393254:HSF393254 IBN393254:ICB393254 ILJ393254:ILX393254 IVF393254:IVT393254 JFB393254:JFP393254 JOX393254:JPL393254 JYT393254:JZH393254 KIP393254:KJD393254 KSL393254:KSZ393254 LCH393254:LCV393254 LMD393254:LMR393254 LVZ393254:LWN393254 MFV393254:MGJ393254 MPR393254:MQF393254 MZN393254:NAB393254 NJJ393254:NJX393254 NTF393254:NTT393254 ODB393254:ODP393254 OMX393254:ONL393254 OWT393254:OXH393254 PGP393254:PHD393254 PQL393254:PQZ393254 QAH393254:QAV393254 QKD393254:QKR393254 QTZ393254:QUN393254 RDV393254:REJ393254 RNR393254:ROF393254 RXN393254:RYB393254 SHJ393254:SHX393254 SRF393254:SRT393254 TBB393254:TBP393254 TKX393254:TLL393254 TUT393254:TVH393254 UEP393254:UFD393254 UOL393254:UOZ393254 UYH393254:UYV393254 VID393254:VIR393254 VRZ393254:VSN393254 WBV393254:WCJ393254 WLR393254:WMF393254 WVN393254:WWB393254 F458791:T458791 JB458790:JP458790 SX458790:TL458790 ACT458790:ADH458790 AMP458790:AND458790 AWL458790:AWZ458790 BGH458790:BGV458790 BQD458790:BQR458790 BZZ458790:CAN458790 CJV458790:CKJ458790 CTR458790:CUF458790 DDN458790:DEB458790 DNJ458790:DNX458790 DXF458790:DXT458790 EHB458790:EHP458790 EQX458790:ERL458790 FAT458790:FBH458790 FKP458790:FLD458790 FUL458790:FUZ458790 GEH458790:GEV458790 GOD458790:GOR458790 GXZ458790:GYN458790 HHV458790:HIJ458790 HRR458790:HSF458790 IBN458790:ICB458790 ILJ458790:ILX458790 IVF458790:IVT458790 JFB458790:JFP458790 JOX458790:JPL458790 JYT458790:JZH458790 KIP458790:KJD458790 KSL458790:KSZ458790 LCH458790:LCV458790 LMD458790:LMR458790 LVZ458790:LWN458790 MFV458790:MGJ458790 MPR458790:MQF458790 MZN458790:NAB458790 NJJ458790:NJX458790 NTF458790:NTT458790 ODB458790:ODP458790 OMX458790:ONL458790 OWT458790:OXH458790 PGP458790:PHD458790 PQL458790:PQZ458790 QAH458790:QAV458790 QKD458790:QKR458790 QTZ458790:QUN458790 RDV458790:REJ458790 RNR458790:ROF458790 RXN458790:RYB458790 SHJ458790:SHX458790 SRF458790:SRT458790 TBB458790:TBP458790 TKX458790:TLL458790 TUT458790:TVH458790 UEP458790:UFD458790 UOL458790:UOZ458790 UYH458790:UYV458790 VID458790:VIR458790 VRZ458790:VSN458790 WBV458790:WCJ458790 WLR458790:WMF458790 WVN458790:WWB458790 F524327:T524327 JB524326:JP524326 SX524326:TL524326 ACT524326:ADH524326 AMP524326:AND524326 AWL524326:AWZ524326 BGH524326:BGV524326 BQD524326:BQR524326 BZZ524326:CAN524326 CJV524326:CKJ524326 CTR524326:CUF524326 DDN524326:DEB524326 DNJ524326:DNX524326 DXF524326:DXT524326 EHB524326:EHP524326 EQX524326:ERL524326 FAT524326:FBH524326 FKP524326:FLD524326 FUL524326:FUZ524326 GEH524326:GEV524326 GOD524326:GOR524326 GXZ524326:GYN524326 HHV524326:HIJ524326 HRR524326:HSF524326 IBN524326:ICB524326 ILJ524326:ILX524326 IVF524326:IVT524326 JFB524326:JFP524326 JOX524326:JPL524326 JYT524326:JZH524326 KIP524326:KJD524326 KSL524326:KSZ524326 LCH524326:LCV524326 LMD524326:LMR524326 LVZ524326:LWN524326 MFV524326:MGJ524326 MPR524326:MQF524326 MZN524326:NAB524326 NJJ524326:NJX524326 NTF524326:NTT524326 ODB524326:ODP524326 OMX524326:ONL524326 OWT524326:OXH524326 PGP524326:PHD524326 PQL524326:PQZ524326 QAH524326:QAV524326 QKD524326:QKR524326 QTZ524326:QUN524326 RDV524326:REJ524326 RNR524326:ROF524326 RXN524326:RYB524326 SHJ524326:SHX524326 SRF524326:SRT524326 TBB524326:TBP524326 TKX524326:TLL524326 TUT524326:TVH524326 UEP524326:UFD524326 UOL524326:UOZ524326 UYH524326:UYV524326 VID524326:VIR524326 VRZ524326:VSN524326 WBV524326:WCJ524326 WLR524326:WMF524326 WVN524326:WWB524326 F589863:T589863 JB589862:JP589862 SX589862:TL589862 ACT589862:ADH589862 AMP589862:AND589862 AWL589862:AWZ589862 BGH589862:BGV589862 BQD589862:BQR589862 BZZ589862:CAN589862 CJV589862:CKJ589862 CTR589862:CUF589862 DDN589862:DEB589862 DNJ589862:DNX589862 DXF589862:DXT589862 EHB589862:EHP589862 EQX589862:ERL589862 FAT589862:FBH589862 FKP589862:FLD589862 FUL589862:FUZ589862 GEH589862:GEV589862 GOD589862:GOR589862 GXZ589862:GYN589862 HHV589862:HIJ589862 HRR589862:HSF589862 IBN589862:ICB589862 ILJ589862:ILX589862 IVF589862:IVT589862 JFB589862:JFP589862 JOX589862:JPL589862 JYT589862:JZH589862 KIP589862:KJD589862 KSL589862:KSZ589862 LCH589862:LCV589862 LMD589862:LMR589862 LVZ589862:LWN589862 MFV589862:MGJ589862 MPR589862:MQF589862 MZN589862:NAB589862 NJJ589862:NJX589862 NTF589862:NTT589862 ODB589862:ODP589862 OMX589862:ONL589862 OWT589862:OXH589862 PGP589862:PHD589862 PQL589862:PQZ589862 QAH589862:QAV589862 QKD589862:QKR589862 QTZ589862:QUN589862 RDV589862:REJ589862 RNR589862:ROF589862 RXN589862:RYB589862 SHJ589862:SHX589862 SRF589862:SRT589862 TBB589862:TBP589862 TKX589862:TLL589862 TUT589862:TVH589862 UEP589862:UFD589862 UOL589862:UOZ589862 UYH589862:UYV589862 VID589862:VIR589862 VRZ589862:VSN589862 WBV589862:WCJ589862 WLR589862:WMF589862 WVN589862:WWB589862 F655399:T655399 JB655398:JP655398 SX655398:TL655398 ACT655398:ADH655398 AMP655398:AND655398 AWL655398:AWZ655398 BGH655398:BGV655398 BQD655398:BQR655398 BZZ655398:CAN655398 CJV655398:CKJ655398 CTR655398:CUF655398 DDN655398:DEB655398 DNJ655398:DNX655398 DXF655398:DXT655398 EHB655398:EHP655398 EQX655398:ERL655398 FAT655398:FBH655398 FKP655398:FLD655398 FUL655398:FUZ655398 GEH655398:GEV655398 GOD655398:GOR655398 GXZ655398:GYN655398 HHV655398:HIJ655398 HRR655398:HSF655398 IBN655398:ICB655398 ILJ655398:ILX655398 IVF655398:IVT655398 JFB655398:JFP655398 JOX655398:JPL655398 JYT655398:JZH655398 KIP655398:KJD655398 KSL655398:KSZ655398 LCH655398:LCV655398 LMD655398:LMR655398 LVZ655398:LWN655398 MFV655398:MGJ655398 MPR655398:MQF655398 MZN655398:NAB655398 NJJ655398:NJX655398 NTF655398:NTT655398 ODB655398:ODP655398 OMX655398:ONL655398 OWT655398:OXH655398 PGP655398:PHD655398 PQL655398:PQZ655398 QAH655398:QAV655398 QKD655398:QKR655398 QTZ655398:QUN655398 RDV655398:REJ655398 RNR655398:ROF655398 RXN655398:RYB655398 SHJ655398:SHX655398 SRF655398:SRT655398 TBB655398:TBP655398 TKX655398:TLL655398 TUT655398:TVH655398 UEP655398:UFD655398 UOL655398:UOZ655398 UYH655398:UYV655398 VID655398:VIR655398 VRZ655398:VSN655398 WBV655398:WCJ655398 WLR655398:WMF655398 WVN655398:WWB655398 F720935:T720935 JB720934:JP720934 SX720934:TL720934 ACT720934:ADH720934 AMP720934:AND720934 AWL720934:AWZ720934 BGH720934:BGV720934 BQD720934:BQR720934 BZZ720934:CAN720934 CJV720934:CKJ720934 CTR720934:CUF720934 DDN720934:DEB720934 DNJ720934:DNX720934 DXF720934:DXT720934 EHB720934:EHP720934 EQX720934:ERL720934 FAT720934:FBH720934 FKP720934:FLD720934 FUL720934:FUZ720934 GEH720934:GEV720934 GOD720934:GOR720934 GXZ720934:GYN720934 HHV720934:HIJ720934 HRR720934:HSF720934 IBN720934:ICB720934 ILJ720934:ILX720934 IVF720934:IVT720934 JFB720934:JFP720934 JOX720934:JPL720934 JYT720934:JZH720934 KIP720934:KJD720934 KSL720934:KSZ720934 LCH720934:LCV720934 LMD720934:LMR720934 LVZ720934:LWN720934 MFV720934:MGJ720934 MPR720934:MQF720934 MZN720934:NAB720934 NJJ720934:NJX720934 NTF720934:NTT720934 ODB720934:ODP720934 OMX720934:ONL720934 OWT720934:OXH720934 PGP720934:PHD720934 PQL720934:PQZ720934 QAH720934:QAV720934 QKD720934:QKR720934 QTZ720934:QUN720934 RDV720934:REJ720934 RNR720934:ROF720934 RXN720934:RYB720934 SHJ720934:SHX720934 SRF720934:SRT720934 TBB720934:TBP720934 TKX720934:TLL720934 TUT720934:TVH720934 UEP720934:UFD720934 UOL720934:UOZ720934 UYH720934:UYV720934 VID720934:VIR720934 VRZ720934:VSN720934 WBV720934:WCJ720934 WLR720934:WMF720934 WVN720934:WWB720934 F786471:T786471 JB786470:JP786470 SX786470:TL786470 ACT786470:ADH786470 AMP786470:AND786470 AWL786470:AWZ786470 BGH786470:BGV786470 BQD786470:BQR786470 BZZ786470:CAN786470 CJV786470:CKJ786470 CTR786470:CUF786470 DDN786470:DEB786470 DNJ786470:DNX786470 DXF786470:DXT786470 EHB786470:EHP786470 EQX786470:ERL786470 FAT786470:FBH786470 FKP786470:FLD786470 FUL786470:FUZ786470 GEH786470:GEV786470 GOD786470:GOR786470 GXZ786470:GYN786470 HHV786470:HIJ786470 HRR786470:HSF786470 IBN786470:ICB786470 ILJ786470:ILX786470 IVF786470:IVT786470 JFB786470:JFP786470 JOX786470:JPL786470 JYT786470:JZH786470 KIP786470:KJD786470 KSL786470:KSZ786470 LCH786470:LCV786470 LMD786470:LMR786470 LVZ786470:LWN786470 MFV786470:MGJ786470 MPR786470:MQF786470 MZN786470:NAB786470 NJJ786470:NJX786470 NTF786470:NTT786470 ODB786470:ODP786470 OMX786470:ONL786470 OWT786470:OXH786470 PGP786470:PHD786470 PQL786470:PQZ786470 QAH786470:QAV786470 QKD786470:QKR786470 QTZ786470:QUN786470 RDV786470:REJ786470 RNR786470:ROF786470 RXN786470:RYB786470 SHJ786470:SHX786470 SRF786470:SRT786470 TBB786470:TBP786470 TKX786470:TLL786470 TUT786470:TVH786470 UEP786470:UFD786470 UOL786470:UOZ786470 UYH786470:UYV786470 VID786470:VIR786470 VRZ786470:VSN786470 WBV786470:WCJ786470 WLR786470:WMF786470 WVN786470:WWB786470 F852007:T852007 JB852006:JP852006 SX852006:TL852006 ACT852006:ADH852006 AMP852006:AND852006 AWL852006:AWZ852006 BGH852006:BGV852006 BQD852006:BQR852006 BZZ852006:CAN852006 CJV852006:CKJ852006 CTR852006:CUF852006 DDN852006:DEB852006 DNJ852006:DNX852006 DXF852006:DXT852006 EHB852006:EHP852006 EQX852006:ERL852006 FAT852006:FBH852006 FKP852006:FLD852006 FUL852006:FUZ852006 GEH852006:GEV852006 GOD852006:GOR852006 GXZ852006:GYN852006 HHV852006:HIJ852006 HRR852006:HSF852006 IBN852006:ICB852006 ILJ852006:ILX852006 IVF852006:IVT852006 JFB852006:JFP852006 JOX852006:JPL852006 JYT852006:JZH852006 KIP852006:KJD852006 KSL852006:KSZ852006 LCH852006:LCV852006 LMD852006:LMR852006 LVZ852006:LWN852006 MFV852006:MGJ852006 MPR852006:MQF852006 MZN852006:NAB852006 NJJ852006:NJX852006 NTF852006:NTT852006 ODB852006:ODP852006 OMX852006:ONL852006 OWT852006:OXH852006 PGP852006:PHD852006 PQL852006:PQZ852006 QAH852006:QAV852006 QKD852006:QKR852006 QTZ852006:QUN852006 RDV852006:REJ852006 RNR852006:ROF852006 RXN852006:RYB852006 SHJ852006:SHX852006 SRF852006:SRT852006 TBB852006:TBP852006 TKX852006:TLL852006 TUT852006:TVH852006 UEP852006:UFD852006 UOL852006:UOZ852006 UYH852006:UYV852006 VID852006:VIR852006 VRZ852006:VSN852006 WBV852006:WCJ852006 WLR852006:WMF852006 WVN852006:WWB852006 F917543:T917543 JB917542:JP917542 SX917542:TL917542 ACT917542:ADH917542 AMP917542:AND917542 AWL917542:AWZ917542 BGH917542:BGV917542 BQD917542:BQR917542 BZZ917542:CAN917542 CJV917542:CKJ917542 CTR917542:CUF917542 DDN917542:DEB917542 DNJ917542:DNX917542 DXF917542:DXT917542 EHB917542:EHP917542 EQX917542:ERL917542 FAT917542:FBH917542 FKP917542:FLD917542 FUL917542:FUZ917542 GEH917542:GEV917542 GOD917542:GOR917542 GXZ917542:GYN917542 HHV917542:HIJ917542 HRR917542:HSF917542 IBN917542:ICB917542 ILJ917542:ILX917542 IVF917542:IVT917542 JFB917542:JFP917542 JOX917542:JPL917542 JYT917542:JZH917542 KIP917542:KJD917542 KSL917542:KSZ917542 LCH917542:LCV917542 LMD917542:LMR917542 LVZ917542:LWN917542 MFV917542:MGJ917542 MPR917542:MQF917542 MZN917542:NAB917542 NJJ917542:NJX917542 NTF917542:NTT917542 ODB917542:ODP917542 OMX917542:ONL917542 OWT917542:OXH917542 PGP917542:PHD917542 PQL917542:PQZ917542 QAH917542:QAV917542 QKD917542:QKR917542 QTZ917542:QUN917542 RDV917542:REJ917542 RNR917542:ROF917542 RXN917542:RYB917542 SHJ917542:SHX917542 SRF917542:SRT917542 TBB917542:TBP917542 TKX917542:TLL917542 TUT917542:TVH917542 UEP917542:UFD917542 UOL917542:UOZ917542 UYH917542:UYV917542 VID917542:VIR917542 VRZ917542:VSN917542 WBV917542:WCJ917542 WLR917542:WMF917542 WVN917542:WWB917542 F983079:T983079 JB983078:JP983078 SX983078:TL983078 ACT983078:ADH983078 AMP983078:AND983078 AWL983078:AWZ983078 BGH983078:BGV983078 BQD983078:BQR983078 BZZ983078:CAN983078 CJV983078:CKJ983078 CTR983078:CUF983078 DDN983078:DEB983078 DNJ983078:DNX983078 DXF983078:DXT983078 EHB983078:EHP983078 EQX983078:ERL983078 FAT983078:FBH983078 FKP983078:FLD983078 FUL983078:FUZ983078 GEH983078:GEV983078 GOD983078:GOR983078 GXZ983078:GYN983078 HHV983078:HIJ983078 HRR983078:HSF983078 IBN983078:ICB983078 ILJ983078:ILX983078 IVF983078:IVT983078 JFB983078:JFP983078 JOX983078:JPL983078 JYT983078:JZH983078 KIP983078:KJD983078 KSL983078:KSZ983078 LCH983078:LCV983078 LMD983078:LMR983078 LVZ983078:LWN983078 MFV983078:MGJ983078 MPR983078:MQF983078 MZN983078:NAB983078 NJJ983078:NJX983078 NTF983078:NTT983078 ODB983078:ODP983078 OMX983078:ONL983078 OWT983078:OXH983078 PGP983078:PHD983078 PQL983078:PQZ983078 QAH983078:QAV983078 QKD983078:QKR983078 QTZ983078:QUN983078 RDV983078:REJ983078 RNR983078:ROF983078 RXN983078:RYB983078 SHJ983078:SHX983078 SRF983078:SRT983078 TBB983078:TBP983078 TKX983078:TLL983078 TUT983078:TVH983078 UEP983078:UFD983078 UOL983078:UOZ983078 UYH983078:UYV983078 VID983078:VIR983078 VRZ983078:VSN983078 WBV983078:WCJ983078 WLR983078:WMF983078 WVN983078:WWB983078" xr:uid="{00000000-0002-0000-0100-000002000000}">
      <formula1>"N,A,B, 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tabSelected="1" topLeftCell="A17" workbookViewId="0">
      <selection activeCell="D38" sqref="D38"/>
    </sheetView>
  </sheetViews>
  <sheetFormatPr defaultColWidth="9" defaultRowHeight="14.5"/>
  <cols>
    <col min="1" max="1" width="13.453125" style="20" customWidth="1"/>
    <col min="2" max="2" width="37.08984375" style="20" bestFit="1" customWidth="1"/>
    <col min="3" max="3" width="28.36328125" style="20" bestFit="1" customWidth="1"/>
    <col min="4" max="4" width="36.7265625" bestFit="1" customWidth="1"/>
    <col min="5" max="5" width="28.26953125" bestFit="1" customWidth="1"/>
    <col min="6" max="6" width="39.90625" bestFit="1" customWidth="1"/>
    <col min="7" max="7" width="8.453125" style="20" customWidth="1"/>
    <col min="8" max="8" width="14" style="20" customWidth="1"/>
    <col min="9" max="9" width="32" style="20" customWidth="1"/>
    <col min="10" max="16384" width="9" style="20"/>
  </cols>
  <sheetData>
    <row r="1" spans="1:9" ht="20">
      <c r="A1" s="106" t="s">
        <v>47</v>
      </c>
      <c r="B1" s="106"/>
      <c r="C1" s="106"/>
      <c r="D1" s="106"/>
      <c r="E1" s="106"/>
      <c r="F1" s="106"/>
      <c r="G1" s="106"/>
      <c r="H1" s="106"/>
      <c r="I1" s="106"/>
    </row>
    <row r="2" spans="1:9" ht="12.5">
      <c r="A2" s="91"/>
      <c r="B2" s="91"/>
      <c r="C2" s="88"/>
      <c r="D2" s="89" t="str">
        <f>"Pass: "&amp;COUNTIF($G$5:$G$940,"Pass")</f>
        <v>Pass: 0</v>
      </c>
      <c r="E2" s="89"/>
      <c r="F2" s="90" t="str">
        <f>"Untested: "&amp;COUNTIF($G$5:$G$940,"Untest")</f>
        <v>Untested: 0</v>
      </c>
      <c r="G2" s="91"/>
      <c r="H2" s="91"/>
      <c r="I2" s="91"/>
    </row>
    <row r="3" spans="1:9" ht="25">
      <c r="A3" s="92" t="s">
        <v>57</v>
      </c>
      <c r="B3" s="93" t="s">
        <v>57</v>
      </c>
      <c r="C3" s="94"/>
      <c r="D3" s="89" t="str">
        <f>"Fail: "&amp;COUNTIF($G$5:$G$940,"Fail")</f>
        <v>Fail: 0</v>
      </c>
      <c r="E3" s="89"/>
      <c r="F3" s="90" t="str">
        <f>"N/A: "&amp;COUNTIF($G$5:$G$940,"N/A")</f>
        <v>N/A: 0</v>
      </c>
      <c r="G3" s="91"/>
      <c r="H3" s="91"/>
      <c r="I3" s="91"/>
    </row>
    <row r="4" spans="1:9" ht="20">
      <c r="A4" s="95" t="s">
        <v>48</v>
      </c>
      <c r="B4" s="95" t="s">
        <v>49</v>
      </c>
      <c r="C4" s="95" t="s">
        <v>50</v>
      </c>
      <c r="D4" s="95" t="s">
        <v>51</v>
      </c>
      <c r="E4" s="95" t="s">
        <v>52</v>
      </c>
      <c r="F4" s="95" t="s">
        <v>53</v>
      </c>
      <c r="G4" s="95" t="s">
        <v>54</v>
      </c>
      <c r="H4" s="95" t="s">
        <v>55</v>
      </c>
      <c r="I4" s="95" t="s">
        <v>56</v>
      </c>
    </row>
    <row r="5" spans="1:9" ht="70">
      <c r="A5" s="97" t="s">
        <v>58</v>
      </c>
      <c r="B5" s="98" t="s">
        <v>59</v>
      </c>
      <c r="C5" s="98" t="s">
        <v>60</v>
      </c>
      <c r="D5" s="98" t="s">
        <v>61</v>
      </c>
      <c r="E5" s="98" t="s">
        <v>62</v>
      </c>
      <c r="F5" s="98" t="s">
        <v>63</v>
      </c>
      <c r="G5" s="87"/>
      <c r="H5" s="96"/>
      <c r="I5" s="98" t="s">
        <v>64</v>
      </c>
    </row>
    <row r="6" spans="1:9" ht="70">
      <c r="A6" s="97" t="s">
        <v>65</v>
      </c>
      <c r="B6" s="98" t="s">
        <v>66</v>
      </c>
      <c r="C6" s="98" t="s">
        <v>60</v>
      </c>
      <c r="D6" s="98" t="s">
        <v>67</v>
      </c>
      <c r="E6" s="98" t="s">
        <v>68</v>
      </c>
      <c r="F6" s="98" t="s">
        <v>69</v>
      </c>
      <c r="G6" s="87"/>
      <c r="H6" s="96"/>
      <c r="I6" s="98" t="s">
        <v>64</v>
      </c>
    </row>
    <row r="7" spans="1:9" ht="70">
      <c r="A7" s="97" t="s">
        <v>70</v>
      </c>
      <c r="B7" s="98" t="s">
        <v>71</v>
      </c>
      <c r="C7" s="98" t="s">
        <v>60</v>
      </c>
      <c r="D7" s="98" t="s">
        <v>72</v>
      </c>
      <c r="E7" s="98" t="s">
        <v>73</v>
      </c>
      <c r="F7" s="98" t="s">
        <v>69</v>
      </c>
      <c r="G7" s="87"/>
      <c r="H7" s="96"/>
      <c r="I7" s="98" t="s">
        <v>74</v>
      </c>
    </row>
    <row r="8" spans="1:9" ht="70">
      <c r="A8" s="97" t="s">
        <v>75</v>
      </c>
      <c r="B8" s="98" t="s">
        <v>76</v>
      </c>
      <c r="C8" s="99" t="s">
        <v>60</v>
      </c>
      <c r="D8" s="98" t="s">
        <v>77</v>
      </c>
      <c r="E8" s="98" t="s">
        <v>78</v>
      </c>
      <c r="F8" s="98" t="s">
        <v>79</v>
      </c>
      <c r="G8" s="87"/>
      <c r="H8" s="96"/>
      <c r="I8" s="98" t="s">
        <v>64</v>
      </c>
    </row>
    <row r="9" spans="1:9" ht="84">
      <c r="A9" s="97" t="s">
        <v>80</v>
      </c>
      <c r="B9" s="98" t="s">
        <v>81</v>
      </c>
      <c r="C9" s="99" t="s">
        <v>60</v>
      </c>
      <c r="D9" s="98" t="s">
        <v>82</v>
      </c>
      <c r="E9" s="98" t="s">
        <v>83</v>
      </c>
      <c r="F9" s="98" t="s">
        <v>84</v>
      </c>
      <c r="G9" s="87"/>
      <c r="H9" s="96"/>
      <c r="I9" s="98" t="s">
        <v>64</v>
      </c>
    </row>
    <row r="10" spans="1:9" ht="70">
      <c r="A10" s="102" t="s">
        <v>85</v>
      </c>
      <c r="B10" s="103" t="s">
        <v>86</v>
      </c>
      <c r="C10" s="103" t="s">
        <v>60</v>
      </c>
      <c r="D10" s="103" t="s">
        <v>87</v>
      </c>
      <c r="E10" s="103" t="s">
        <v>88</v>
      </c>
      <c r="F10" s="103" t="s">
        <v>89</v>
      </c>
      <c r="G10" s="102"/>
      <c r="H10" s="102"/>
      <c r="I10" s="103" t="s">
        <v>64</v>
      </c>
    </row>
    <row r="11" spans="1:9" ht="84">
      <c r="A11" s="102" t="s">
        <v>90</v>
      </c>
      <c r="B11" s="103" t="s">
        <v>91</v>
      </c>
      <c r="C11" s="103" t="s">
        <v>60</v>
      </c>
      <c r="D11" s="103" t="s">
        <v>92</v>
      </c>
      <c r="E11" s="103" t="s">
        <v>93</v>
      </c>
      <c r="F11" s="103" t="s">
        <v>94</v>
      </c>
      <c r="G11" s="102"/>
      <c r="H11" s="102"/>
      <c r="I11" s="103" t="s">
        <v>64</v>
      </c>
    </row>
    <row r="12" spans="1:9" ht="71.5" customHeight="1">
      <c r="A12" s="102" t="s">
        <v>95</v>
      </c>
      <c r="B12" s="103" t="s">
        <v>96</v>
      </c>
      <c r="C12" s="104" t="s">
        <v>60</v>
      </c>
      <c r="D12" s="104" t="s">
        <v>97</v>
      </c>
      <c r="E12" s="104" t="s">
        <v>98</v>
      </c>
      <c r="F12" s="104" t="s">
        <v>99</v>
      </c>
      <c r="G12" s="102"/>
      <c r="H12" s="102"/>
      <c r="I12" s="103" t="s">
        <v>100</v>
      </c>
    </row>
    <row r="13" spans="1:9" ht="70">
      <c r="A13" s="102" t="s">
        <v>101</v>
      </c>
      <c r="B13" s="103" t="s">
        <v>102</v>
      </c>
      <c r="C13" s="103" t="s">
        <v>60</v>
      </c>
      <c r="D13" s="103" t="s">
        <v>103</v>
      </c>
      <c r="E13" s="103" t="s">
        <v>104</v>
      </c>
      <c r="F13" s="103" t="s">
        <v>105</v>
      </c>
      <c r="G13" s="102"/>
      <c r="H13" s="102"/>
      <c r="I13" s="103" t="s">
        <v>74</v>
      </c>
    </row>
    <row r="14" spans="1:9" ht="84">
      <c r="A14" s="102" t="s">
        <v>106</v>
      </c>
      <c r="B14" s="103" t="s">
        <v>107</v>
      </c>
      <c r="C14" s="103" t="s">
        <v>60</v>
      </c>
      <c r="D14" s="103" t="s">
        <v>108</v>
      </c>
      <c r="E14" s="103" t="s">
        <v>109</v>
      </c>
      <c r="F14" s="103" t="s">
        <v>110</v>
      </c>
      <c r="G14" s="102"/>
      <c r="H14" s="102"/>
      <c r="I14" s="103" t="s">
        <v>100</v>
      </c>
    </row>
    <row r="15" spans="1:9" ht="84">
      <c r="A15" s="102" t="s">
        <v>111</v>
      </c>
      <c r="B15" s="103" t="s">
        <v>112</v>
      </c>
      <c r="C15" s="103" t="s">
        <v>60</v>
      </c>
      <c r="D15" s="103" t="s">
        <v>113</v>
      </c>
      <c r="E15" s="103" t="s">
        <v>114</v>
      </c>
      <c r="F15" s="103" t="s">
        <v>105</v>
      </c>
      <c r="G15" s="102"/>
      <c r="H15" s="102"/>
      <c r="I15" s="103" t="s">
        <v>74</v>
      </c>
    </row>
    <row r="16" spans="1:9" ht="70">
      <c r="A16" s="102" t="s">
        <v>115</v>
      </c>
      <c r="B16" s="103" t="s">
        <v>116</v>
      </c>
      <c r="C16" s="103" t="s">
        <v>60</v>
      </c>
      <c r="D16" s="103" t="s">
        <v>117</v>
      </c>
      <c r="E16" s="103" t="s">
        <v>118</v>
      </c>
      <c r="F16" s="103" t="s">
        <v>119</v>
      </c>
      <c r="G16" s="102"/>
      <c r="H16" s="102"/>
      <c r="I16" s="103" t="s">
        <v>120</v>
      </c>
    </row>
    <row r="17" spans="1:9" ht="84">
      <c r="A17" s="102" t="s">
        <v>121</v>
      </c>
      <c r="B17" s="103" t="s">
        <v>122</v>
      </c>
      <c r="C17" s="103" t="s">
        <v>60</v>
      </c>
      <c r="D17" s="103" t="s">
        <v>123</v>
      </c>
      <c r="E17" s="103" t="s">
        <v>124</v>
      </c>
      <c r="F17" s="103" t="s">
        <v>125</v>
      </c>
      <c r="G17" s="102"/>
      <c r="H17" s="102"/>
      <c r="I17" s="103" t="s">
        <v>126</v>
      </c>
    </row>
    <row r="18" spans="1:9" ht="70">
      <c r="A18" s="102" t="s">
        <v>127</v>
      </c>
      <c r="B18" s="103" t="s">
        <v>128</v>
      </c>
      <c r="C18" s="103" t="s">
        <v>60</v>
      </c>
      <c r="D18" s="103" t="s">
        <v>129</v>
      </c>
      <c r="E18" s="103" t="s">
        <v>130</v>
      </c>
      <c r="F18" s="103" t="s">
        <v>131</v>
      </c>
      <c r="G18" s="102"/>
      <c r="H18" s="102"/>
      <c r="I18" s="103" t="s">
        <v>132</v>
      </c>
    </row>
    <row r="19" spans="1:9" ht="84">
      <c r="A19" s="102" t="s">
        <v>133</v>
      </c>
      <c r="B19" s="103" t="s">
        <v>134</v>
      </c>
      <c r="C19" s="103" t="s">
        <v>60</v>
      </c>
      <c r="D19" s="103" t="s">
        <v>135</v>
      </c>
      <c r="E19" s="103" t="s">
        <v>136</v>
      </c>
      <c r="F19" s="103" t="s">
        <v>137</v>
      </c>
      <c r="G19" s="102"/>
      <c r="H19" s="102"/>
      <c r="I19" s="103" t="s">
        <v>138</v>
      </c>
    </row>
    <row r="20" spans="1:9" ht="14">
      <c r="A20" s="100"/>
      <c r="B20" s="100"/>
      <c r="C20" s="100"/>
      <c r="D20" s="101"/>
      <c r="E20" s="101"/>
      <c r="F20" s="101"/>
      <c r="G20" s="100"/>
      <c r="H20" s="100"/>
      <c r="I20" s="100"/>
    </row>
    <row r="22" spans="1:9" ht="10" customHeight="1">
      <c r="C22" s="105"/>
      <c r="D22" s="160"/>
      <c r="E22" s="161"/>
      <c r="F22" s="161"/>
    </row>
    <row r="23" spans="1:9" ht="10" customHeight="1">
      <c r="D23" s="161"/>
      <c r="E23" s="161"/>
      <c r="F23" s="161"/>
    </row>
    <row r="24" spans="1:9" ht="10" customHeight="1">
      <c r="D24" s="161"/>
      <c r="E24" s="161"/>
      <c r="F24" s="161"/>
    </row>
    <row r="25" spans="1:9" ht="10" customHeight="1">
      <c r="D25" s="161"/>
      <c r="E25" s="161"/>
      <c r="F25" s="161"/>
    </row>
    <row r="26" spans="1:9" ht="10" customHeight="1">
      <c r="D26" s="161"/>
      <c r="E26" s="161"/>
      <c r="F26" s="161"/>
    </row>
    <row r="27" spans="1:9" ht="10" customHeight="1">
      <c r="D27" s="161"/>
      <c r="E27" s="161"/>
      <c r="F27" s="161"/>
    </row>
    <row r="28" spans="1:9" ht="10" customHeight="1">
      <c r="D28" s="161"/>
      <c r="E28" s="161"/>
      <c r="F28" s="161"/>
    </row>
  </sheetData>
  <mergeCells count="1">
    <mergeCell ref="A1:I1"/>
  </mergeCells>
  <phoneticPr fontId="28" type="noConversion"/>
  <dataValidations count="1">
    <dataValidation type="list" operator="equal" allowBlank="1" sqref="G5:G9" xr:uid="{00000000-0002-0000-0200-000000000000}">
      <formula1>"Pass,Fail,Not Run,N/A"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Hieu Huu</cp:lastModifiedBy>
  <dcterms:modified xsi:type="dcterms:W3CDTF">2026-10-07T09:53:46Z</dcterms:modified>
</cp:coreProperties>
</file>